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67" firstSheet="0" activeTab="0"/>
  </bookViews>
  <sheets>
    <sheet name="체크리스트" sheetId="1" state="visible" r:id="rId3"/>
    <sheet name="80007321 07" sheetId="2" state="visible" r:id="rId4"/>
  </sheets>
  <definedNames>
    <definedName function="false" hidden="false" localSheetId="1" name="_xlnm.Print_Area" vbProcedure="false">'80007321 07'!$A$1:$X$638</definedName>
    <definedName function="false" hidden="false" localSheetId="0" name="_xlnm.Print_Area" vbProcedure="false">체크리스트!$A$1:$P$19</definedName>
    <definedName function="false" hidden="false" name="A" vbProcedure="false">#REF!</definedName>
    <definedName function="false" hidden="false" name="aa" vbProcedure="false">#REF!</definedName>
    <definedName function="false" hidden="false" name="afsa" vbProcedure="false">#REF!</definedName>
    <definedName function="false" hidden="false" name="aq" vbProcedure="false">#REF!</definedName>
    <definedName function="false" hidden="false" name="BASE" vbProcedure="false">#REF!</definedName>
    <definedName function="false" hidden="false" name="BS" vbProcedure="false">#REF!</definedName>
    <definedName function="false" hidden="false" name="COA" vbProcedure="false">#REF!</definedName>
    <definedName function="false" hidden="false" name="COB" vbProcedure="false">#REF!</definedName>
    <definedName function="false" hidden="false" name="COC" vbProcedure="false">#REF!</definedName>
    <definedName function="false" hidden="false" name="COD" vbProcedure="false">#REF!</definedName>
    <definedName function="false" hidden="false" name="COE" vbProcedure="false">#REF!</definedName>
    <definedName function="false" hidden="false" name="d" vbProcedure="false">#REF!</definedName>
    <definedName function="false" hidden="false" name="dd" vbProcedure="false">#REF!</definedName>
    <definedName function="false" hidden="false" name="ddd" vbProcedure="false">#REF!</definedName>
    <definedName function="false" hidden="false" name="dddd" vbProcedure="false">#REF!</definedName>
    <definedName function="false" hidden="false" name="ddddd" vbProcedure="false">#REF!</definedName>
    <definedName function="false" hidden="false" name="dddddd" vbProcedure="false">#REF!</definedName>
    <definedName function="false" hidden="false" name="dhtn" vbProcedure="false">#REF!</definedName>
    <definedName function="false" hidden="false" name="dkanro" vbProcedure="false">#REF!</definedName>
    <definedName function="false" hidden="false" name="GSI" vbProcedure="false">#REF!</definedName>
    <definedName function="false" hidden="false" name="HGKLSAJFLEF" vbProcedure="false">#REF!</definedName>
    <definedName function="false" hidden="false" name="PL" vbProcedure="false">#REF!</definedName>
    <definedName function="false" hidden="false" name="Print_Area_MI" vbProcedure="false">#REF!</definedName>
    <definedName function="false" hidden="false" name="sdsd" vbProcedure="false">#REF!</definedName>
    <definedName function="false" hidden="false" name="TB" vbProcedure="false">#REF!</definedName>
    <definedName function="false" hidden="false" name="_1__월" vbProcedure="false">#REF!</definedName>
    <definedName function="false" hidden="false" name="_1_ˆó_üƒ_ƒCƒgƒ" vbProcedure="false">#REF!</definedName>
    <definedName function="false" hidden="false" name="_2__월" vbProcedure="false">#REF!</definedName>
    <definedName function="false" hidden="false" name="_2_ˆó_üƒ_ƒCƒgƒ" vbProcedure="false">#REF!</definedName>
    <definedName function="false" hidden="false" name="_2_ˆó_ü—Ìˆæ" vbProcedure="false">#REF!</definedName>
    <definedName function="false" hidden="false" name="_3__월" vbProcedure="false">#REF!</definedName>
    <definedName function="false" hidden="false" name="_4__월" vbProcedure="false">#REF!</definedName>
    <definedName function="false" hidden="false" name="_4_ˆó_ü—Ìˆæ" vbProcedure="false">#REF!</definedName>
    <definedName function="false" hidden="false" name="_F69990" vbProcedure="false">#REF!</definedName>
    <definedName function="false" hidden="false" name="_PL06" vbProcedure="false">#REF!</definedName>
    <definedName function="false" hidden="false" name="_R300000" vbProcedure="false">#REF!</definedName>
    <definedName function="false" hidden="false" name="_R500000" vbProcedure="false">#REF!</definedName>
    <definedName function="false" hidden="false" name="_R500001" vbProcedure="false">#REF!</definedName>
    <definedName function="false" hidden="false" name="_R70814" vbProcedure="false">#REF!</definedName>
    <definedName function="false" hidden="false" name="_R71869" vbProcedure="false">#REF!</definedName>
    <definedName function="false" hidden="false" name="_R80000" vbProcedure="false">#REF!</definedName>
    <definedName function="false" hidden="false" name="_xlnm.Database" vbProcedure="false">#REF!</definedName>
    <definedName function="false" hidden="false" name="_xlnm.Print_Titles" vbProcedure="false">#REF!</definedName>
    <definedName function="false" hidden="false" name="__" vbProcedure="false">#REF!</definedName>
    <definedName function="false" hidden="false" name="__1_ˆó_üƒ_ƒCƒgƒ" vbProcedure="false">#REF!</definedName>
    <definedName function="false" hidden="false" name="__2_ˆó_ü—Ìˆæ" vbProcedure="false">#REF!</definedName>
    <definedName function="false" hidden="false" name="__F69990" vbProcedure="false">#REF!</definedName>
    <definedName function="false" hidden="false" name="__PL06" vbProcedure="false">#REF!</definedName>
    <definedName function="false" hidden="false" name="__R300000" vbProcedure="false">#REF!</definedName>
    <definedName function="false" hidden="false" name="__R500000" vbProcedure="false">#REF!</definedName>
    <definedName function="false" hidden="false" name="__R70814" vbProcedure="false">#REF!</definedName>
    <definedName function="false" hidden="false" name="__R71869" vbProcedure="false">#REF!</definedName>
    <definedName function="false" hidden="false" name="__R80000" vbProcedure="false">#REF!</definedName>
    <definedName function="false" hidden="false" name="___" vbProcedure="false">#REF!</definedName>
    <definedName function="false" hidden="false" name="___F69990" vbProcedure="false">#REF!</definedName>
    <definedName function="false" hidden="false" name="___PL06" vbProcedure="false">#REF!</definedName>
    <definedName function="false" hidden="false" name="___R300000" vbProcedure="false">#REF!</definedName>
    <definedName function="false" hidden="false" name="___R500000" vbProcedure="false">#REF!</definedName>
    <definedName function="false" hidden="false" name="___R70814" vbProcedure="false">#REF!</definedName>
    <definedName function="false" hidden="false" name="___R71869" vbProcedure="false">#REF!</definedName>
    <definedName function="false" hidden="false" name="___R80000" vbProcedure="false">#REF!</definedName>
    <definedName function="false" hidden="false" name="____" vbProcedure="false">#REF!</definedName>
    <definedName function="false" hidden="false" name="____F69990" vbProcedure="false">#REF!</definedName>
    <definedName function="false" hidden="false" name="____PL06" vbProcedure="false">#REF!</definedName>
    <definedName function="false" hidden="false" name="____R300000" vbProcedure="false">#REF!</definedName>
    <definedName function="false" hidden="false" name="____R500000" vbProcedure="false">#REF!</definedName>
    <definedName function="false" hidden="false" name="____R70814" vbProcedure="false">#REF!</definedName>
    <definedName function="false" hidden="false" name="____R71869" vbProcedure="false">#REF!</definedName>
    <definedName function="false" hidden="false" name="____R80000" vbProcedure="false">#REF!</definedName>
    <definedName function="false" hidden="false" name="_____PL06" vbProcedure="false">#REF!</definedName>
    <definedName function="false" hidden="false" name="______PL06" vbProcedure="false">#REF!</definedName>
    <definedName function="false" hidden="false" name="_______" vbProcedure="false">#REF!</definedName>
    <definedName function="false" hidden="false" name="_______PL06" vbProcedure="false">#REF!</definedName>
    <definedName function="false" hidden="false" name="________PL06" vbProcedure="false">#REF!</definedName>
    <definedName function="false" hidden="false" name="_________PL06" vbProcedure="false">#REF!</definedName>
    <definedName function="false" hidden="false" name="__________PL06" vbProcedure="false">#REF!</definedName>
    <definedName function="false" hidden="false" name="___________PL06" vbProcedure="false">#REF!</definedName>
    <definedName function="false" hidden="false" name="____________" vbProcedure="false">#REF!</definedName>
    <definedName function="false" hidden="false" name="____________PL06" vbProcedure="false">#REF!</definedName>
    <definedName function="false" hidden="false" name="_____________PL06" vbProcedure="false">#REF!</definedName>
    <definedName function="false" hidden="false" name="_____________ˆó_ü—Ìˆæ" vbProcedure="false">#REF!</definedName>
    <definedName function="false" hidden="false" name="____________ˆó_ü—Ìˆæ" vbProcedure="false">#REF!</definedName>
    <definedName function="false" hidden="false" name="___________ˆó_ü—Ìˆæ" vbProcedure="false">#REF!</definedName>
    <definedName function="false" hidden="false" name="__________ˆó_ü—Ìˆæ" vbProcedure="false">#REF!</definedName>
    <definedName function="false" hidden="false" name="_________ˆó_ü—Ìˆæ" vbProcedure="false">#REF!</definedName>
    <definedName function="false" hidden="false" name="________ˆó_ü—Ìˆæ" vbProcedure="false">#REF!</definedName>
    <definedName function="false" hidden="false" name="_______ˆó_ü—Ìˆæ" vbProcedure="false">#REF!</definedName>
    <definedName function="false" hidden="false" name="______ˆó_ü—Ìˆæ" vbProcedure="false">#REF!</definedName>
    <definedName function="false" hidden="false" name="_____ˆó_ü—Ìˆæ" vbProcedure="false">#REF!</definedName>
    <definedName function="false" hidden="false" name="____ˆó_ü—Ìˆæ" vbProcedure="false">#REF!</definedName>
    <definedName function="false" hidden="false" name="___ˆó_ü—Ìˆæ" vbProcedure="false">#REF!</definedName>
    <definedName function="false" hidden="false" name="__ˆó_ü—Ìˆæ" vbProcedure="false">#REF!</definedName>
    <definedName function="false" hidden="false" name="_ˆó_ü—Ìˆæ" vbProcedure="false">#REF!</definedName>
    <definedName function="false" hidden="false" name="ㄱ" vbProcedure="false">#REF!</definedName>
    <definedName function="false" hidden="false" name="ㄴㄴㄴ" vbProcedure="false">#REF!</definedName>
    <definedName function="false" hidden="false" name="ㄴㅇㄴㅇ" vbProcedure="false">#REF!</definedName>
    <definedName function="false" hidden="false" name="ㄴㅇㄴㅇㄴ" vbProcedure="false">#REF!</definedName>
    <definedName function="false" hidden="false" name="ㄴㅇㅍ" vbProcedure="false">#REF!</definedName>
    <definedName function="false" hidden="false" name="ㄴㅇㅎㄴㅇㅀㄴㅇㅀㄴㅇㅀㄴㅇㄹ" vbProcedure="false">#REF!</definedName>
    <definedName function="false" hidden="false" name="ㅁ" vbProcedure="false">#REF!</definedName>
    <definedName function="false" hidden="false" name="ㅂ" vbProcedure="false">#REF!</definedName>
    <definedName function="false" hidden="false" name="ㅇ" vbProcedure="false">#REF!</definedName>
    <definedName function="false" hidden="false" name="ㅇㅇ" vbProcedure="false">#REF!</definedName>
    <definedName function="false" hidden="false" name="ㅈ" vbProcedure="false">#REF!</definedName>
    <definedName function="false" hidden="false" name="ㅎㄴ" vbProcedure="false">#REF!</definedName>
    <definedName function="false" hidden="false" name="ㅎㅎㅎ" vbProcedure="false">#REF!</definedName>
    <definedName function="false" hidden="false" name="구매" vbProcedure="false">#REF!</definedName>
    <definedName function="false" hidden="false" name="그래프" vbProcedure="false">#REF!</definedName>
    <definedName function="false" hidden="false" name="기획관리팀" vbProcedure="false">#REF!</definedName>
    <definedName function="false" hidden="false" name="더페이스2" vbProcedure="false">#REF!</definedName>
    <definedName function="false" hidden="false" name="백만단위조정" vbProcedure="false">#REF!,#REF!,#REF!,#REF!,#REF!,#REF!,#REF!</definedName>
    <definedName function="false" hidden="false" name="생기" vbProcedure="false">#REF!</definedName>
    <definedName function="false" hidden="false" name="생산기술" vbProcedure="false">#REF!</definedName>
    <definedName function="false" hidden="false" name="수불" vbProcedure="false">#REF!</definedName>
    <definedName function="false" hidden="false" name="아뭐.." vbProcedure="false">#REF!</definedName>
    <definedName function="false" hidden="false" name="연구3실" vbProcedure="false">#REF!</definedName>
    <definedName function="false" hidden="false" name="영역" vbProcedure="false">#REF!</definedName>
    <definedName function="false" hidden="false" name="융ㅇㅇㅇ" vbProcedure="false">#REF!</definedName>
    <definedName function="false" hidden="false" name="은행_data" vbProcedure="false">#REF!</definedName>
    <definedName function="false" hidden="false" name="은행명" vbProcedure="false">#REF!</definedName>
    <definedName function="false" hidden="false" name="이름" vbProcedure="false">#REF!</definedName>
    <definedName function="false" hidden="false" name="이자제외_제조임률" vbProcedure="false">#REF!</definedName>
    <definedName function="false" hidden="false" name="이자제외_포장임률" vbProcedure="false">#REF!</definedName>
    <definedName function="false" hidden="false" name="전민용" vbProcedure="false">#REF!</definedName>
    <definedName function="false" hidden="false" name="제조원가명세" vbProcedure="false">#REF!</definedName>
    <definedName function="false" hidden="false" name="제조임률" vbProcedure="false">#REF!</definedName>
    <definedName function="false" hidden="false" name="지점_data" vbProcedure="false">#REF!</definedName>
    <definedName function="false" hidden="false" name="지점명" vbProcedure="false">#REF!</definedName>
    <definedName function="false" hidden="false" name="충전" vbProcedure="false">#REF!</definedName>
    <definedName function="false" hidden="false" name="투자계획2" vbProcedure="false">#REF!</definedName>
    <definedName function="false" hidden="false" name="포장임률" vbProcedure="false">#REF!</definedName>
    <definedName function="false" hidden="false" name="품질" vbProcedure="false">#REF!</definedName>
    <definedName function="false" hidden="false" name="해외사업" vbProcedure="false">#REF!</definedName>
    <definedName function="false" hidden="false" name="해외사업팀실적" vbProcedure="false">#REF!</definedName>
    <definedName function="false" hidden="false" name="허다" vbProcedure="false">#REF!</definedName>
    <definedName function="false" hidden="false" name="호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<sst xmlns="http://schemas.openxmlformats.org/spreadsheetml/2006/main" count="1591" uniqueCount="558">
  <si>
    <t xml:space="preserve">제조지시 및 기록서 체크리스트</t>
  </si>
  <si>
    <t xml:space="preserve">제품명</t>
  </si>
  <si>
    <t xml:space="preserve">07</t>
  </si>
  <si>
    <t xml:space="preserve">납기일</t>
  </si>
  <si>
    <t xml:space="preserve">YYYY.MM.DD</t>
  </si>
  <si>
    <t xml:space="preserve">제조번호</t>
  </si>
  <si>
    <t xml:space="preserve">LOT99999</t>
  </si>
  <si>
    <t xml:space="preserve">주문량</t>
  </si>
  <si>
    <t xml:space="preserve">1,000</t>
  </si>
  <si>
    <t xml:space="preserve">Set</t>
  </si>
  <si>
    <t xml:space="preserve">제형 및 규격</t>
  </si>
  <si>
    <t xml:space="preserve">5G*30포</t>
  </si>
  <si>
    <t xml:space="preserve">투여량</t>
  </si>
  <si>
    <t xml:space="preserve">고객명</t>
  </si>
  <si>
    <t xml:space="preserve">연세대학교 연세생활건강</t>
  </si>
  <si>
    <t xml:space="preserve">손실량</t>
  </si>
  <si>
    <t xml:space="preserve">0</t>
  </si>
  <si>
    <t xml:space="preserve">%</t>
  </si>
  <si>
    <t xml:space="preserve">확인사항</t>
  </si>
  <si>
    <t xml:space="preserve">공정</t>
  </si>
  <si>
    <t xml:space="preserve">지시 및 점검사항</t>
  </si>
  <si>
    <t xml:space="preserve">확인</t>
  </si>
  <si>
    <t xml:space="preserve">작업자</t>
  </si>
  <si>
    <t xml:space="preserve">확인자</t>
  </si>
  <si>
    <t xml:space="preserve">발행</t>
  </si>
  <si>
    <t xml:space="preserve">▷ 생산의뢰서 접수 확인
▷ 제품 품목신고증 확인
▷ 자재 인쇄입고 여부 확인
▷ 제조지시 및 기록서 발행</t>
  </si>
  <si>
    <t xml:space="preserve">□</t>
  </si>
  <si>
    <t xml:space="preserve">생산 오더번호</t>
  </si>
  <si>
    <t xml:space="preserve">WO999956</t>
  </si>
  <si>
    <t xml:space="preserve">자재 인쇄 기록확인</t>
  </si>
  <si>
    <t xml:space="preserve">칭량</t>
  </si>
  <si>
    <t xml:space="preserve">▷ 제조지시 및 기록서의 해당 원료코드 및 원료명을 확인한다.
▷ 작업할 원료의 기준량을 확인하여 칭량을 진행한다.
▷ 칭량된 원료의 시험번호를 제조지시 및 기록서에 기록한다. 
▷ 칭량된 원료의 바코드라벨을 제조지시 및 기록서 뒷면에 부착한다.</t>
  </si>
  <si>
    <t xml:space="preserve">유동층 조립</t>
  </si>
  <si>
    <t xml:space="preserve">▷ 작업 전 인수받은 원료의 수량과 제조지시 및 기록서의 수량을 
    확인한다.
▷ 제조지시 및 기록서의 기준규격에 맞게 작업을 진행한다.
▷ 반제품 시험결과가 적합한지 확인한다.</t>
  </si>
  <si>
    <t xml:space="preserve">건조</t>
  </si>
  <si>
    <t xml:space="preserve">혼합</t>
  </si>
  <si>
    <t xml:space="preserve">청정구역 포장</t>
  </si>
  <si>
    <t xml:space="preserve">충전</t>
  </si>
  <si>
    <t xml:space="preserve">▷ 인수받은 반제품의 적합라벨 및 중량을 확인한다.
▷ 제조지시 및 기록서의 기준규격에 맞게 작업을 진행한다.
▷ 반제품 시험결과가 적합한지 확인한다.</t>
  </si>
  <si>
    <t xml:space="preserve">일반구역 포장</t>
  </si>
  <si>
    <t xml:space="preserve">외 포장</t>
  </si>
  <si>
    <r>
      <rPr>
        <sz val="8"/>
        <rFont val="맑은 고딕"/>
        <family val="3"/>
        <charset val="129"/>
      </rPr>
      <t xml:space="preserve">▷ 기존제품의 경우 한도 견본과 대조하여 확인한다.
▷</t>
    </r>
    <r>
      <rPr>
        <b val="true"/>
        <sz val="8"/>
        <rFont val="맑은 고딕"/>
        <family val="3"/>
        <charset val="129"/>
      </rPr>
      <t xml:space="preserve"> 표시자재(라벨, 케이스 등) 제조지시 및 기록서 뒷면에 부착한다.
</t>
    </r>
    <r>
      <rPr>
        <sz val="8"/>
        <rFont val="맑은 고딕"/>
        <family val="3"/>
        <charset val="129"/>
      </rPr>
      <t xml:space="preserve">▷ 포장방법설명서를 확인 후 작업을 진행한다.
▷ 카톤박스의 중량을 기록한다.</t>
    </r>
  </si>
  <si>
    <t xml:space="preserve">문서마감</t>
  </si>
  <si>
    <t xml:space="preserve">▷ 제조지시 및 기록서 최종 검토하여 이탈 사항이 있는지 확인한다.</t>
  </si>
  <si>
    <t xml:space="preserve">특이사항</t>
  </si>
  <si>
    <t xml:space="preserve">체크리스트 특이사항 입력 22222</t>
  </si>
  <si>
    <t xml:space="preserve">제조지시 및 기록서
Batch Manufacturing Record</t>
  </si>
  <si>
    <r>
      <rPr>
        <sz val="9"/>
        <rFont val="맑은 고딕"/>
        <family val="3"/>
        <charset val="129"/>
      </rPr>
      <t xml:space="preserve">제 품 명
</t>
    </r>
    <r>
      <rPr>
        <sz val="8"/>
        <rFont val="맑은 고딕"/>
        <family val="3"/>
        <charset val="129"/>
      </rPr>
      <t xml:space="preserve">Product Name</t>
    </r>
  </si>
  <si>
    <r>
      <rPr>
        <sz val="9"/>
        <rFont val="맑은 고딕"/>
        <family val="3"/>
        <charset val="129"/>
      </rPr>
      <t xml:space="preserve">제조단위
</t>
    </r>
    <r>
      <rPr>
        <sz val="8"/>
        <rFont val="맑은 고딕"/>
        <family val="3"/>
        <charset val="129"/>
      </rPr>
      <t xml:space="preserve">Manufacturing Unit</t>
    </r>
  </si>
  <si>
    <t xml:space="preserve">g</t>
  </si>
  <si>
    <t xml:space="preserve">5.000</t>
  </si>
  <si>
    <t xml:space="preserve">g/포</t>
  </si>
  <si>
    <t xml:space="preserve">포</t>
  </si>
  <si>
    <r>
      <rPr>
        <sz val="9"/>
        <rFont val="맑은 고딕"/>
        <family val="3"/>
        <charset val="129"/>
      </rPr>
      <t xml:space="preserve">식품분류
</t>
    </r>
    <r>
      <rPr>
        <sz val="8"/>
        <rFont val="맑은 고딕"/>
        <family val="3"/>
        <charset val="129"/>
      </rPr>
      <t xml:space="preserve">Food Category</t>
    </r>
  </si>
  <si>
    <t xml:space="preserve">건강기능식품
(유산균)</t>
  </si>
  <si>
    <r>
      <rPr>
        <sz val="9"/>
        <rFont val="맑은 고딕"/>
        <family val="3"/>
        <charset val="129"/>
      </rPr>
      <t xml:space="preserve">제품코드
</t>
    </r>
    <r>
      <rPr>
        <sz val="8"/>
        <rFont val="맑은 고딕"/>
        <family val="3"/>
        <charset val="129"/>
      </rPr>
      <t xml:space="preserve">Product Code</t>
    </r>
  </si>
  <si>
    <t xml:space="preserve">80007321</t>
  </si>
  <si>
    <r>
      <rPr>
        <sz val="9"/>
        <rFont val="맑은 고딕"/>
        <family val="3"/>
        <charset val="129"/>
      </rPr>
      <t xml:space="preserve">제조일자
</t>
    </r>
    <r>
      <rPr>
        <sz val="8"/>
        <rFont val="맑은 고딕"/>
        <family val="3"/>
        <charset val="129"/>
      </rPr>
      <t xml:space="preserve">Manufacturing Date</t>
    </r>
  </si>
  <si>
    <t xml:space="preserve">  년         월        일</t>
  </si>
  <si>
    <r>
      <rPr>
        <sz val="9"/>
        <rFont val="맑은 고딕"/>
        <family val="3"/>
        <charset val="129"/>
      </rPr>
      <t xml:space="preserve">제조번호
</t>
    </r>
    <r>
      <rPr>
        <sz val="8"/>
        <rFont val="맑은 고딕"/>
        <family val="3"/>
        <charset val="129"/>
      </rPr>
      <t xml:space="preserve">Lot No.</t>
    </r>
  </si>
  <si>
    <t xml:space="preserve">제조일자 산정 기준일:  </t>
  </si>
  <si>
    <t xml:space="preserve">소비기간
Shelf life</t>
  </si>
  <si>
    <t xml:space="preserve">제조일로부터 18개월</t>
  </si>
  <si>
    <r>
      <rPr>
        <sz val="9"/>
        <rFont val="맑은 고딕"/>
        <family val="3"/>
        <charset val="129"/>
      </rPr>
      <t xml:space="preserve">소비기한
</t>
    </r>
    <r>
      <rPr>
        <sz val="10"/>
        <rFont val="맑은 고딕"/>
        <family val="3"/>
        <charset val="129"/>
      </rPr>
      <t xml:space="preserve">Expiry Date</t>
    </r>
  </si>
  <si>
    <t xml:space="preserve">  년          월         일</t>
  </si>
  <si>
    <t xml:space="preserve">확인자(서명/날짜)</t>
  </si>
  <si>
    <r>
      <rPr>
        <sz val="9"/>
        <rFont val="맑은 고딕"/>
        <family val="3"/>
        <charset val="129"/>
      </rPr>
      <t xml:space="preserve">이론생산량
T</t>
    </r>
    <r>
      <rPr>
        <sz val="8"/>
        <rFont val="맑은 고딕"/>
        <family val="3"/>
        <charset val="129"/>
      </rPr>
      <t xml:space="preserve">heoretical production</t>
    </r>
  </si>
  <si>
    <t xml:space="preserve">set</t>
  </si>
  <si>
    <r>
      <rPr>
        <sz val="10"/>
        <rFont val="맑은 고딕"/>
        <family val="3"/>
        <charset val="129"/>
      </rPr>
      <t xml:space="preserve">포장단위
P</t>
    </r>
    <r>
      <rPr>
        <sz val="8"/>
        <rFont val="맑은 고딕"/>
        <family val="3"/>
        <charset val="129"/>
      </rPr>
      <t xml:space="preserve">acking Unit</t>
    </r>
  </si>
  <si>
    <t xml:space="preserve">※ 별첨양식</t>
  </si>
  <si>
    <t xml:space="preserve">※ 반제품 보관시 주의사항 </t>
  </si>
  <si>
    <t xml:space="preserve">1. 보관용기는 청결을 유지하고 입구를 밀폐 또는 밀봉하여 인습되지 않게 하여야 한다.</t>
  </si>
  <si>
    <t xml:space="preserve">2. 혼동을 방지하기 위해 용기별 공정식별표를 부착하고 제품별, LOT별, 시험중, 적합품, 부적합품을 각각 구별하여 보관한다.</t>
  </si>
  <si>
    <t xml:space="preserve">※ 제조지시 및 기록서의 모든 공정단계별 이상발생 시 생산팀장 또는 생산부서장에게 보고한다. </t>
  </si>
  <si>
    <t xml:space="preserve">발행확인
REVIEW </t>
  </si>
  <si>
    <t xml:space="preserve">발행자
Issued by</t>
  </si>
  <si>
    <t xml:space="preserve">생산관리 팀장
Production Management Manager</t>
  </si>
  <si>
    <t xml:space="preserve">품질보증부서장
QA Manager</t>
  </si>
  <si>
    <t xml:space="preserve">/</t>
  </si>
  <si>
    <t xml:space="preserve">승인
APPROVAL</t>
  </si>
  <si>
    <t xml:space="preserve">제조관리책임자
Production Manager</t>
  </si>
  <si>
    <t xml:space="preserve">품질관리인
Quality Director            </t>
  </si>
  <si>
    <t xml:space="preserve">Batch Manufacturing Record</t>
  </si>
  <si>
    <t xml:space="preserve">개정이력</t>
  </si>
  <si>
    <t xml:space="preserve">Revision History</t>
  </si>
  <si>
    <t xml:space="preserve">Product Name</t>
  </si>
  <si>
    <t xml:space="preserve">Appearance</t>
  </si>
  <si>
    <t xml:space="preserve">고유의 향미가 있고 이미, 이취가 없는 연한 보라색의 입자성이 있는 분말</t>
  </si>
  <si>
    <t xml:space="preserve">Lot No.</t>
  </si>
  <si>
    <t xml:space="preserve">Manufacturing Unit</t>
  </si>
  <si>
    <t xml:space="preserve">30,000</t>
  </si>
  <si>
    <t xml:space="preserve">150,000.000</t>
  </si>
  <si>
    <t xml:space="preserve">REVISION HISTORY / 개정이력</t>
  </si>
  <si>
    <t xml:space="preserve">Revision No</t>
  </si>
  <si>
    <t xml:space="preserve">개정일/Revision Date</t>
  </si>
  <si>
    <t xml:space="preserve">개정내용/Reason</t>
  </si>
  <si>
    <t xml:space="preserve">01</t>
  </si>
  <si>
    <t xml:space="preserve">2024-05-01</t>
  </si>
  <si>
    <t xml:space="preserve">최초제정 (제 20240501호)</t>
  </si>
  <si>
    <t xml:space="preserve">원료칭량-1</t>
  </si>
  <si>
    <t xml:space="preserve"> Weighing Raw Material(RM)</t>
  </si>
  <si>
    <t xml:space="preserve">LINE CLEARANCE CHECKLIST</t>
  </si>
  <si>
    <t xml:space="preserve">Line Clearance Checklist</t>
  </si>
  <si>
    <t xml:space="preserve">Confirm
확인</t>
  </si>
  <si>
    <t xml:space="preserve">Operated by / Date
작업자 / 날짜</t>
  </si>
  <si>
    <r>
      <rPr>
        <b val="true"/>
        <sz val="9"/>
        <color theme="1"/>
        <rFont val="맑은 고딕"/>
        <family val="3"/>
        <charset val="129"/>
      </rPr>
      <t xml:space="preserve">[칭량작업실]
</t>
    </r>
    <r>
      <rPr>
        <sz val="9"/>
        <color theme="1"/>
        <rFont val="맑은 고딕"/>
        <family val="3"/>
        <charset val="129"/>
      </rPr>
      <t xml:space="preserve">- 작업장과 칭량도구가 청결한지 확인한다.
- 테이블, 벽, 바닥에 이전 제품의 흔적이나 관련없는 문서가 없는지 확인한다.
- 작업장에 모든 쓰레기가 제거되었는지 확인한다.
- 집진기 후드가 칭량작업대와 나란히 정렬되어 있는지 확인한다. </t>
    </r>
  </si>
  <si>
    <t xml:space="preserve">적합(□), 부적합(□)
적합(□), 부적합(□)
적합(□), 부적합(□)
적합(□), 부적합(□)</t>
  </si>
  <si>
    <r>
      <rPr>
        <b val="true"/>
        <sz val="9"/>
        <color theme="1"/>
        <rFont val="맑은 고딕"/>
        <family val="3"/>
        <charset val="129"/>
      </rPr>
      <t xml:space="preserve">[칭량도구]
</t>
    </r>
    <r>
      <rPr>
        <sz val="9"/>
        <color theme="1"/>
        <rFont val="맑은 고딕"/>
        <family val="3"/>
        <charset val="129"/>
      </rPr>
      <t xml:space="preserve">- 모든 칭량 도구가 살균되어 있으며 깨끗한지 확인한다.
- 칭량비닐이 깨끗한지 확인한다.</t>
    </r>
  </si>
  <si>
    <t xml:space="preserve">적합(□), 부적합(□)
적합(□), 부적합(□)</t>
  </si>
  <si>
    <r>
      <rPr>
        <b val="true"/>
        <sz val="9"/>
        <color theme="1"/>
        <rFont val="맑은 고딕"/>
        <family val="3"/>
        <charset val="129"/>
      </rPr>
      <t xml:space="preserve">[전자저울]
</t>
    </r>
    <r>
      <rPr>
        <sz val="9"/>
        <color theme="1"/>
        <rFont val="맑은 고딕"/>
        <family val="3"/>
        <charset val="129"/>
      </rPr>
      <t xml:space="preserve">- 저울 주변이 청결한지 확인한다.
- 저울의 수평 및 영점을 확인한다.
- 저울의 차기교정일자가 유효한지 확인한다.</t>
    </r>
  </si>
  <si>
    <t xml:space="preserve">적합(□), 부적합(□)
적합(□), 부적합(□)
적합(□), 부적합(□)</t>
  </si>
  <si>
    <t xml:space="preserve">Reviewed by 확인자</t>
  </si>
  <si>
    <t xml:space="preserve">원료칭량-2</t>
  </si>
  <si>
    <t xml:space="preserve">지시 및 점검 사항</t>
  </si>
  <si>
    <t xml:space="preserve">확인자(서명 및 날짜)</t>
  </si>
  <si>
    <t xml:space="preserve">1. 원료 및 칭량비닐은 적합판정 라벨이 부착된 자재인지 확인하였는가. </t>
  </si>
  <si>
    <t xml:space="preserve">적합 (□), 부적합(□)</t>
  </si>
  <si>
    <t xml:space="preserve">2. 원료의 외관상태는 청결한지 확인하였는가</t>
  </si>
  <si>
    <t xml:space="preserve">3. 칭량용 기구 및 용기의 청결한지 확인하였는가</t>
  </si>
  <si>
    <t xml:space="preserve">4. 해당 제품 원료 외 다른 원료가 있는지 확인한다.</t>
  </si>
  <si>
    <t xml:space="preserve">5. 저울의 수평 및 영점을 확인하였는가</t>
  </si>
  <si>
    <t xml:space="preserve">6. 칭량전 기구는 70% 에탄올로 살균 건조 후 사용한다.</t>
  </si>
  <si>
    <t xml:space="preserve">7. 동일 원료에 두가지 배치번호를 칭량 할 경우 각 배치번호별 사용량과 시험번호를 기재한다. </t>
  </si>
  <si>
    <t xml:space="preserve">원료
코드번호</t>
  </si>
  <si>
    <t xml:space="preserve">Allergen</t>
  </si>
  <si>
    <t xml:space="preserve">원료명</t>
  </si>
  <si>
    <t xml:space="preserve">배합비율
(%)</t>
  </si>
  <si>
    <t xml:space="preserve">허가량
(g/포)</t>
  </si>
  <si>
    <t xml:space="preserve">기준량
(g)</t>
  </si>
  <si>
    <t xml:space="preserve">소분진행량(g)</t>
  </si>
  <si>
    <t xml:space="preserve">시험번호 별도 양식첨부</t>
  </si>
  <si>
    <t xml:space="preserve">10002382</t>
  </si>
  <si>
    <t xml:space="preserve">-</t>
  </si>
  <si>
    <t xml:space="preserve">조립/혼합1</t>
  </si>
  <si>
    <t xml:space="preserve">유산균배양건조물</t>
  </si>
  <si>
    <t xml:space="preserve">0.0100</t>
  </si>
  <si>
    <t xml:space="preserve">0.00050</t>
  </si>
  <si>
    <t xml:space="preserve">15.000</t>
  </si>
  <si>
    <t xml:space="preserve">N/A</t>
  </si>
  <si>
    <t xml:space="preserve">10002772</t>
  </si>
  <si>
    <t xml:space="preserve">프락토올리고당(고시형)</t>
  </si>
  <si>
    <t xml:space="preserve">66.6700</t>
  </si>
  <si>
    <t xml:space="preserve">3.33350</t>
  </si>
  <si>
    <t xml:space="preserve">100,005.000</t>
  </si>
  <si>
    <t xml:space="preserve">10000587</t>
  </si>
  <si>
    <t xml:space="preserve">포도과즙분말</t>
  </si>
  <si>
    <t xml:space="preserve">11.5000</t>
  </si>
  <si>
    <t xml:space="preserve">0.57500</t>
  </si>
  <si>
    <t xml:space="preserve">17,250.000</t>
  </si>
  <si>
    <t xml:space="preserve">10000745</t>
  </si>
  <si>
    <t xml:space="preserve">블루베리농축분말</t>
  </si>
  <si>
    <t xml:space="preserve">6.9310</t>
  </si>
  <si>
    <t xml:space="preserve">0.34655</t>
  </si>
  <si>
    <t xml:space="preserve">10,396.500</t>
  </si>
  <si>
    <t xml:space="preserve">10001997</t>
  </si>
  <si>
    <t xml:space="preserve">혼합제제</t>
  </si>
  <si>
    <t xml:space="preserve">5.0000</t>
  </si>
  <si>
    <t xml:space="preserve">0.25000</t>
  </si>
  <si>
    <t xml:space="preserve">7,500.000</t>
  </si>
  <si>
    <t xml:space="preserve">10000043</t>
  </si>
  <si>
    <t xml:space="preserve">구연산</t>
  </si>
  <si>
    <t xml:space="preserve">1.2000</t>
  </si>
  <si>
    <t xml:space="preserve">0.06000</t>
  </si>
  <si>
    <t xml:space="preserve">1,800.000</t>
  </si>
  <si>
    <t xml:space="preserve">10000025</t>
  </si>
  <si>
    <t xml:space="preserve">난소화성말토덱스트린(고시형)</t>
  </si>
  <si>
    <t xml:space="preserve">1.0950</t>
  </si>
  <si>
    <t xml:space="preserve">0.05475</t>
  </si>
  <si>
    <t xml:space="preserve">1,642.500</t>
  </si>
  <si>
    <t xml:space="preserve">10002803</t>
  </si>
  <si>
    <t xml:space="preserve">L-프롤린</t>
  </si>
  <si>
    <t xml:space="preserve">1.0000</t>
  </si>
  <si>
    <t xml:space="preserve">0.05000</t>
  </si>
  <si>
    <t xml:space="preserve">1,500.000</t>
  </si>
  <si>
    <t xml:space="preserve">10002090</t>
  </si>
  <si>
    <t xml:space="preserve">과일혼합분말</t>
  </si>
  <si>
    <t xml:space="preserve">0.1000</t>
  </si>
  <si>
    <t xml:space="preserve">0.00500</t>
  </si>
  <si>
    <t xml:space="preserve">150.000</t>
  </si>
  <si>
    <t xml:space="preserve">10001756</t>
  </si>
  <si>
    <t xml:space="preserve">해조혼합분말</t>
  </si>
  <si>
    <t xml:space="preserve">10000299</t>
  </si>
  <si>
    <t xml:space="preserve">Y</t>
  </si>
  <si>
    <t xml:space="preserve">초유단백분말</t>
  </si>
  <si>
    <t xml:space="preserve">10003000</t>
  </si>
  <si>
    <t xml:space="preserve">채소혼합농축액분말</t>
  </si>
  <si>
    <t xml:space="preserve">10000261</t>
  </si>
  <si>
    <t xml:space="preserve">혼합야채분말</t>
  </si>
  <si>
    <t xml:space="preserve">10000521</t>
  </si>
  <si>
    <t xml:space="preserve">주정</t>
  </si>
  <si>
    <t xml:space="preserve">0.0000</t>
  </si>
  <si>
    <t xml:space="preserve">0.00000</t>
  </si>
  <si>
    <t xml:space="preserve">5,612.760</t>
  </si>
  <si>
    <t xml:space="preserve">10001304</t>
  </si>
  <si>
    <t xml:space="preserve">정제수</t>
  </si>
  <si>
    <t xml:space="preserve">7,577.226</t>
  </si>
  <si>
    <t xml:space="preserve">10000330</t>
  </si>
  <si>
    <t xml:space="preserve">혼합1</t>
  </si>
  <si>
    <t xml:space="preserve">건조효모</t>
  </si>
  <si>
    <t xml:space="preserve">1.1000</t>
  </si>
  <si>
    <t xml:space="preserve">0.05500</t>
  </si>
  <si>
    <t xml:space="preserve">1,650.000</t>
  </si>
  <si>
    <t xml:space="preserve">10001652</t>
  </si>
  <si>
    <t xml:space="preserve">효소처리스테비아</t>
  </si>
  <si>
    <t xml:space="preserve">0.5000</t>
  </si>
  <si>
    <t xml:space="preserve">0.02500</t>
  </si>
  <si>
    <t xml:space="preserve">750.000</t>
  </si>
  <si>
    <t xml:space="preserve">10000050</t>
  </si>
  <si>
    <t xml:space="preserve">산화아연</t>
  </si>
  <si>
    <t xml:space="preserve">0.2340</t>
  </si>
  <si>
    <t xml:space="preserve">0.01170</t>
  </si>
  <si>
    <t xml:space="preserve">351.000</t>
  </si>
  <si>
    <t xml:space="preserve">10001900</t>
  </si>
  <si>
    <t xml:space="preserve">혼합2</t>
  </si>
  <si>
    <t xml:space="preserve">7종 혼합유산균</t>
  </si>
  <si>
    <t xml:space="preserve">2.3000</t>
  </si>
  <si>
    <t xml:space="preserve">0.11500</t>
  </si>
  <si>
    <t xml:space="preserve">3,450.000</t>
  </si>
  <si>
    <t xml:space="preserve">10000359</t>
  </si>
  <si>
    <t xml:space="preserve">Lactiplantibacillus plantarum(고시형)</t>
  </si>
  <si>
    <t xml:space="preserve">10002071</t>
  </si>
  <si>
    <t xml:space="preserve">Limosilactobacillus reuteri(고시형)</t>
  </si>
  <si>
    <t xml:space="preserve">10001322</t>
  </si>
  <si>
    <t xml:space="preserve">Limosilactobacillus fermentum(고시형)</t>
  </si>
  <si>
    <t xml:space="preserve">10002141</t>
  </si>
  <si>
    <t xml:space="preserve">블루베리향분말</t>
  </si>
  <si>
    <t xml:space="preserve">1.8000</t>
  </si>
  <si>
    <t xml:space="preserve">0.09000</t>
  </si>
  <si>
    <t xml:space="preserve">2,700.000</t>
  </si>
  <si>
    <t xml:space="preserve">10002736</t>
  </si>
  <si>
    <t xml:space="preserve">혼합3</t>
  </si>
  <si>
    <t xml:space="preserve">대나무수액</t>
  </si>
  <si>
    <t xml:space="preserve">0.4000</t>
  </si>
  <si>
    <t xml:space="preserve">0.02000</t>
  </si>
  <si>
    <t xml:space="preserve">600.000</t>
  </si>
  <si>
    <t xml:space="preserve">합계</t>
  </si>
  <si>
    <t xml:space="preserve">100.0000</t>
  </si>
  <si>
    <t xml:space="preserve">5.00000</t>
  </si>
  <si>
    <t xml:space="preserve">163,189.986</t>
  </si>
  <si>
    <t xml:space="preserve">인수인계</t>
  </si>
  <si>
    <t xml:space="preserve">1. 칭량이 완료된 원료는 밀봉하여 원료칭량 바코드라벨과 칭량식별표를 부착하고 칭량 후 대기장소로 이동시킨다.</t>
  </si>
  <si>
    <t xml:space="preserve">2. 다음공정 생산 날짜 전에 해당공정 담당자에게 제조기록서와 칭량된 원료를 인계한다.</t>
  </si>
  <si>
    <t xml:space="preserve">No.</t>
  </si>
  <si>
    <t xml:space="preserve">인수일자</t>
  </si>
  <si>
    <t xml:space="preserve">인계자</t>
  </si>
  <si>
    <t xml:space="preserve">인수자</t>
  </si>
  <si>
    <t xml:space="preserve">년       월       일</t>
  </si>
  <si>
    <t xml:space="preserve">유동층 조립-1</t>
  </si>
  <si>
    <t xml:space="preserve">Fluid Bed Granulation</t>
  </si>
  <si>
    <t xml:space="preserve"> </t>
  </si>
  <si>
    <r>
      <rPr>
        <b val="true"/>
        <sz val="9"/>
        <color theme="1"/>
        <rFont val="맑은 고딕"/>
        <family val="3"/>
        <charset val="129"/>
      </rPr>
      <t xml:space="preserve">[작업장]
</t>
    </r>
    <r>
      <rPr>
        <sz val="9"/>
        <color theme="1"/>
        <rFont val="맑은 고딕"/>
        <family val="3"/>
        <charset val="129"/>
      </rPr>
      <t xml:space="preserve">- 작업장과 작업도구가 청결한지 확인한다.
- 테이블, 벽, 바닥에 이전 제품의 흔적이나 관련없는 문서가 없는지 확인한다.
- 작업장에 모든 쓰레기가 제거되었는지 확인한다.</t>
    </r>
  </si>
  <si>
    <r>
      <rPr>
        <b val="true"/>
        <sz val="9"/>
        <color theme="1"/>
        <rFont val="맑은 고딕"/>
        <family val="3"/>
        <charset val="129"/>
      </rPr>
      <t xml:space="preserve">[작업설비]
</t>
    </r>
    <r>
      <rPr>
        <sz val="9"/>
        <color theme="1"/>
        <rFont val="맑은 고딕"/>
        <family val="3"/>
        <charset val="129"/>
      </rPr>
      <t xml:space="preserve">- 설비 내부의 청결 상태를 확인한다.(이전 제품의 잔류물이 없어야 한다).
- 설비 및 주변이 깨끗한지 확인한다.</t>
    </r>
  </si>
  <si>
    <r>
      <rPr>
        <b val="true"/>
        <sz val="9"/>
        <color theme="1"/>
        <rFont val="맑은 고딕"/>
        <family val="3"/>
        <charset val="129"/>
      </rPr>
      <t xml:space="preserve">[용기 및 도구]
</t>
    </r>
    <r>
      <rPr>
        <sz val="9"/>
        <color theme="1"/>
        <rFont val="맑은 고딕"/>
        <family val="3"/>
        <charset val="129"/>
      </rPr>
      <t xml:space="preserve">- 보관용기가 청결한지 확인한다.
- 사용할 비닐이 청결한지 확인한다.</t>
    </r>
  </si>
  <si>
    <t xml:space="preserve">유동층 조립-2</t>
  </si>
  <si>
    <t xml:space="preserve">1. 작업복장 및 필요한 보호구는 청결한 상태로 착용하였는가</t>
  </si>
  <si>
    <t xml:space="preserve">2. 작업실 및 기계시설은 청결하며, 정리∙정돈이 잘 되어있는가</t>
  </si>
  <si>
    <t xml:space="preserve">3. 인수한 원료는 혼합 전 칭량표라벨의 중량과 실제 중량을 체크한다.</t>
  </si>
  <si>
    <t xml:space="preserve">4. 해당 제품 외 다른 제품이 있는지 확인한다. (ex 원료, 라벨, 케이스, 반제품, 완제품 등)</t>
  </si>
  <si>
    <t xml:space="preserve">Step 1 [조립/혼합1]</t>
  </si>
  <si>
    <t xml:space="preserve">3. 인수한 원료는 혼합 전 칭량라벨의 중량과 실제 중량을 확인한다.</t>
  </si>
  <si>
    <t xml:space="preserve">원료코드
번호</t>
  </si>
  <si>
    <t xml:space="preserve">바코드
확인</t>
  </si>
  <si>
    <t xml:space="preserve">사용량(g)</t>
  </si>
  <si>
    <t xml:space="preserve">작업일자/시간</t>
  </si>
  <si>
    <t xml:space="preserve">사별/투입</t>
  </si>
  <si>
    <t xml:space="preserve">153,508.986</t>
  </si>
  <si>
    <t xml:space="preserve">Step 2 [생산수량 기록]</t>
  </si>
  <si>
    <t xml:space="preserve">1. 반제품 용기에 생산물을 나누어 담고 각각의 용기무게를 '별첨_반제품무게' 기록양식에 기록한다.</t>
  </si>
  <si>
    <t xml:space="preserve">2. 생산된 반제품의 무게를 기록한다.  </t>
  </si>
  <si>
    <t xml:space="preserve">[</t>
  </si>
  <si>
    <t xml:space="preserve">g]</t>
  </si>
  <si>
    <t xml:space="preserve">3. 수량 기록에 문제가 없는지 확인하고 서명한다.</t>
  </si>
  <si>
    <t xml:space="preserve">날짜</t>
  </si>
  <si>
    <t xml:space="preserve">유동층 조립-3</t>
  </si>
  <si>
    <t xml:space="preserve">Step 3 [공정검사]</t>
  </si>
  <si>
    <t xml:space="preserve">1. 공정검사 : NQP-002 검체채취 절차에 따라 반제품 샘플을 채취 하고, 아래 공정규격에 적합한지 검사한다.</t>
  </si>
  <si>
    <t xml:space="preserve">2. 시험방법은 표준작업절차서에 따라 시험을 진행한다.</t>
  </si>
  <si>
    <t xml:space="preserve">채취일</t>
  </si>
  <si>
    <t xml:space="preserve">채취량</t>
  </si>
  <si>
    <t xml:space="preserve">채취자          </t>
  </si>
  <si>
    <t xml:space="preserve">구분</t>
  </si>
  <si>
    <t xml:space="preserve">시험방법</t>
  </si>
  <si>
    <t xml:space="preserve">기준 및 규격</t>
  </si>
  <si>
    <t xml:space="preserve">결과</t>
  </si>
  <si>
    <t xml:space="preserve">판정</t>
  </si>
  <si>
    <t xml:space="preserve">의뢰일자</t>
  </si>
  <si>
    <t xml:space="preserve">성상</t>
  </si>
  <si>
    <t xml:space="preserve">NQSP-101</t>
  </si>
  <si>
    <t xml:space="preserve">적합 / 부적합</t>
  </si>
  <si>
    <t xml:space="preserve">이물</t>
  </si>
  <si>
    <t xml:space="preserve">NQSP-105</t>
  </si>
  <si>
    <t xml:space="preserve">불검출</t>
  </si>
  <si>
    <t xml:space="preserve">수분함량</t>
  </si>
  <si>
    <t xml:space="preserve">NQSP-106</t>
  </si>
  <si>
    <t xml:space="preserve">5% 이하</t>
  </si>
  <si>
    <t xml:space="preserve">수분활성도</t>
  </si>
  <si>
    <t xml:space="preserve">NQSP-103</t>
  </si>
  <si>
    <t xml:space="preserve">10 이하</t>
  </si>
  <si>
    <t xml:space="preserve">밀도</t>
  </si>
  <si>
    <t xml:space="preserve">NQSP-107</t>
  </si>
  <si>
    <t xml:space="preserve">15 ± 0.2</t>
  </si>
  <si>
    <t xml:space="preserve">유동성(안식각)</t>
  </si>
  <si>
    <t xml:space="preserve">NQSP-108</t>
  </si>
  <si>
    <t xml:space="preserve">입도</t>
  </si>
  <si>
    <t xml:space="preserve">NQSP-120</t>
  </si>
  <si>
    <t xml:space="preserve">10 Mesh 이하      5%이하</t>
  </si>
  <si>
    <t xml:space="preserve">3.  QC 판정 : 상기 공정검사 결과와 적합여부를 확인하고 최종 판정을 하며 해당 공정식별표에 적합라벨을 부착한다.</t>
  </si>
  <si>
    <t xml:space="preserve">최종판정</t>
  </si>
  <si>
    <t xml:space="preserve">최종판정일자</t>
  </si>
  <si>
    <t xml:space="preserve">승인자</t>
  </si>
  <si>
    <t xml:space="preserve">Step 4 [수율점검 및 인수인계]</t>
  </si>
  <si>
    <t xml:space="preserve">1. 반제품의 중량(수량)을 합산하여 수율을 기록하고, 차이가 발생하면 관리자에게 보고한다.</t>
  </si>
  <si>
    <t xml:space="preserve">점검일자</t>
  </si>
  <si>
    <t xml:space="preserve">생산량 (g) </t>
  </si>
  <si>
    <t xml:space="preserve">인수량 (g) </t>
  </si>
  <si>
    <t xml:space="preserve">수율기준 : </t>
  </si>
  <si>
    <t xml:space="preserve">97~103 (%)</t>
  </si>
  <si>
    <t xml:space="preserve">[ 생산량 ÷ 인수량 x 100 ]</t>
  </si>
  <si>
    <t xml:space="preserve">손실량 및 손실내용</t>
  </si>
  <si>
    <t xml:space="preserve">2. 인수 인계 : 해당 공정의 문서기록과 공백이 없으며 수율편차에 이상이 없으므로 다음공정으로 인계한다.</t>
  </si>
  <si>
    <t xml:space="preserve">인계수량</t>
  </si>
  <si>
    <t xml:space="preserve">일자</t>
  </si>
  <si>
    <t xml:space="preserve">건조-1</t>
  </si>
  <si>
    <t xml:space="preserve">Drying</t>
  </si>
  <si>
    <t xml:space="preserve">건조-2</t>
  </si>
  <si>
    <r>
      <rPr>
        <sz val="8"/>
        <color theme="1"/>
        <rFont val="맑은 고딕"/>
        <family val="3"/>
        <charset val="129"/>
      </rPr>
      <t xml:space="preserve">2. 구미성형실 및 기계시설은 청결하며, 정리</t>
    </r>
    <r>
      <rPr>
        <sz val="8"/>
        <color rgb="FF000000"/>
        <rFont val="맑은 고딕"/>
        <family val="3"/>
        <charset val="129"/>
      </rPr>
      <t xml:space="preserve">∙정돈이 잘 되어있는가</t>
    </r>
  </si>
  <si>
    <t xml:space="preserve">3. 탱크, 배관의 밸브개폐, 기계, 기구의 이상 유무를 확인한다.</t>
  </si>
  <si>
    <t xml:space="preserve">5. 전 공정 반제품의 적합여부를 확인한다.</t>
  </si>
  <si>
    <t xml:space="preserve">Step 1 [건조]</t>
  </si>
  <si>
    <t xml:space="preserve">코팅기의 속도를 줄여 온도를 유지하면서 건조한다.</t>
  </si>
  <si>
    <t xml:space="preserve">결과 및 사용기기 식별번호</t>
  </si>
  <si>
    <t xml:space="preserve">건조시간</t>
  </si>
  <si>
    <t xml:space="preserve">40~60분</t>
  </si>
  <si>
    <t xml:space="preserve">캡슐 표면 온도</t>
  </si>
  <si>
    <t xml:space="preserve">34 ~ 36℃</t>
  </si>
  <si>
    <t xml:space="preserve">RPM</t>
  </si>
  <si>
    <t xml:space="preserve">1~3</t>
  </si>
  <si>
    <t xml:space="preserve">배기온도</t>
  </si>
  <si>
    <t xml:space="preserve">35~40℃</t>
  </si>
  <si>
    <t xml:space="preserve">건조-3</t>
  </si>
  <si>
    <t xml:space="preserve">97~100 (%)</t>
  </si>
  <si>
    <t xml:space="preserve">혼합-1</t>
  </si>
  <si>
    <t xml:space="preserve">Mixing</t>
  </si>
  <si>
    <r>
      <rPr>
        <b val="true"/>
        <sz val="9"/>
        <color theme="1"/>
        <rFont val="맑은 고딕"/>
        <family val="3"/>
        <charset val="129"/>
      </rPr>
      <t xml:space="preserve">[작업설비]
</t>
    </r>
    <r>
      <rPr>
        <sz val="9"/>
        <color theme="1"/>
        <rFont val="맑은 고딕"/>
        <family val="3"/>
        <charset val="129"/>
      </rPr>
      <t xml:space="preserve">- 설비 내부의 청결 상태를 확인한다.(이전 제품의 잔류물이 없어야 한다)
- 사별기의 청결상태가 깨끗한지 확인한다.
- 자석봉의 청결상태가 깨끗한지 확인한다.
- 설비 및 주변의 청결 상태를 확인한다.</t>
    </r>
  </si>
  <si>
    <t xml:space="preserve">혼합-2</t>
  </si>
  <si>
    <t xml:space="preserve">Step 1 [혼합1]</t>
  </si>
  <si>
    <t xml:space="preserve">1. 작업시작 전 사별기의 청결상태와 체망 파손여부를 확인하고, 작업 후 이물확인 및 체망 파손여부를 확인한다.</t>
  </si>
  <si>
    <t xml:space="preserve">2. 하기원료를 사별 후 혼합기에 투입하고 균질성이 확보되도록 혼합한다.</t>
  </si>
  <si>
    <t xml:space="preserve">체과</t>
  </si>
  <si>
    <t xml:space="preserve">사별</t>
  </si>
  <si>
    <t xml:space="preserve">체과 or 사별</t>
  </si>
  <si>
    <t xml:space="preserve">2,751.000</t>
  </si>
  <si>
    <t xml:space="preserve">체망사이즈</t>
  </si>
  <si>
    <t xml:space="preserve">18mesh, 80mesh</t>
  </si>
  <si>
    <t xml:space="preserve">체망</t>
  </si>
  <si>
    <t xml:space="preserve">18M-01, 18M-02, 18M-03, 80M-01, 80M-1, 80M-2, 06M-01, 08M-01</t>
  </si>
  <si>
    <t xml:space="preserve">사별기 No</t>
  </si>
  <si>
    <t xml:space="preserve">PM-H4004, PM-H4005, PM-H4031</t>
  </si>
  <si>
    <t xml:space="preserve">혼합시간</t>
  </si>
  <si>
    <t xml:space="preserve">더블콘 믹서 (PM-H4001, PM-H4002, PM-H4030,  25~30분</t>
  </si>
  <si>
    <t xml:space="preserve">혼합-3</t>
  </si>
  <si>
    <t xml:space="preserve">Step 2 [혼합2]</t>
  </si>
  <si>
    <t xml:space="preserve">체과/배산</t>
  </si>
  <si>
    <t xml:space="preserve">사별/배산</t>
  </si>
  <si>
    <t xml:space="preserve">체과 or 사별/배산</t>
  </si>
  <si>
    <t xml:space="preserve">6,330.000</t>
  </si>
  <si>
    <t xml:space="preserve">더블콘 믹서 (PM-H4001, PM-H4002, PM-H4030,  5분</t>
  </si>
  <si>
    <t xml:space="preserve">배산원료/횟수</t>
  </si>
  <si>
    <t xml:space="preserve">모두 에 3 배산</t>
  </si>
  <si>
    <t xml:space="preserve">배산 시 주의</t>
  </si>
  <si>
    <t xml:space="preserve">혼합-4</t>
  </si>
  <si>
    <t xml:space="preserve">Step 3 [혼합3]</t>
  </si>
  <si>
    <t xml:space="preserve">더블콘 믹서 (PM-H4001, PM-H4002, PM-H4030,  30~35분</t>
  </si>
  <si>
    <t xml:space="preserve">Step 4 [생산수량 기록]</t>
  </si>
  <si>
    <t xml:space="preserve">혼합-5</t>
  </si>
  <si>
    <t xml:space="preserve">Step 5 [공정검사]</t>
  </si>
  <si>
    <t xml:space="preserve">4 % 이하</t>
  </si>
  <si>
    <t xml:space="preserve">8 이하</t>
  </si>
  <si>
    <t xml:space="preserve">12 ± 0.2</t>
  </si>
  <si>
    <t xml:space="preserve">16 ± 0.2</t>
  </si>
  <si>
    <t xml:space="preserve">Step 6 [수율점검 및 인수인계]</t>
  </si>
  <si>
    <t xml:space="preserve">충전-1</t>
  </si>
  <si>
    <t xml:space="preserve">Filling</t>
  </si>
  <si>
    <r>
      <rPr>
        <b val="true"/>
        <sz val="9"/>
        <color theme="1"/>
        <rFont val="맑은 고딕"/>
        <family val="3"/>
        <charset val="129"/>
      </rPr>
      <t xml:space="preserve">[작업설비]
</t>
    </r>
    <r>
      <rPr>
        <sz val="9"/>
        <color theme="1"/>
        <rFont val="맑은 고딕"/>
        <family val="3"/>
        <charset val="129"/>
      </rPr>
      <t xml:space="preserve">- 설비 내부의 청결 상태를 확인한다.(이전 제품의 잔류물이 없어야 한다)
- 충전기 및 주변이 깨끗한지 확인한다.</t>
    </r>
  </si>
  <si>
    <t xml:space="preserve">충전-2</t>
  </si>
  <si>
    <t xml:space="preserve">1. 작업복장 및 필요한 보호구는 청결한 상태로 착용하였는가.</t>
  </si>
  <si>
    <r>
      <rPr>
        <sz val="8"/>
        <color theme="1"/>
        <rFont val="맑은 고딕"/>
        <family val="3"/>
        <charset val="129"/>
      </rPr>
      <t xml:space="preserve">2. 작업실 및 기계시설은 청결하며, 정리</t>
    </r>
    <r>
      <rPr>
        <sz val="8"/>
        <color rgb="FF000000"/>
        <rFont val="맑은 고딕"/>
        <family val="3"/>
        <charset val="129"/>
      </rPr>
      <t xml:space="preserve">∙정돈이 잘 되어있는가.</t>
    </r>
  </si>
  <si>
    <t xml:space="preserve">3. 인수한 반제품의 적합 라벨 및 중량을 확인한다.</t>
  </si>
  <si>
    <t xml:space="preserve">5. 전 공정 반제품의 제조번호를 확인하고 기록한다.</t>
  </si>
  <si>
    <t xml:space="preserve">반제품 제조번호</t>
  </si>
  <si>
    <t xml:space="preserve">Step 1 [자재 확인 및 외관검사]</t>
  </si>
  <si>
    <t xml:space="preserve">1. 인수받은 스틱포의 자재가 해당제품이 맞는지 확인하고 외관검사와 프린팅 상태가 양호한지 확인하고 작업을 진행한다.</t>
  </si>
  <si>
    <t xml:space="preserve">   * 외관 검사기준 : ① Roll의 압착 또는 찌그러짐이 없어야 한다. ② 잉크·이물오염, 점박이가 없어야 한다.</t>
  </si>
  <si>
    <t xml:space="preserve">   * 프린팅 검사기준 : ① 흔들린 인쇄가 없어야 한다. ② 색상이 표준품과 일치해야 한다. </t>
  </si>
  <si>
    <t xml:space="preserve">2. 스틱포에 LOT번호 또는 소비기한을 압인(또는 인쇄)하는 해당된 내용을 기재한다. (해당되지 않는 경우 'N/A' 기재)</t>
  </si>
  <si>
    <t xml:space="preserve">외관검사</t>
  </si>
  <si>
    <t xml:space="preserve">프린팅 상태</t>
  </si>
  <si>
    <t xml:space="preserve">LOT 인쇄</t>
  </si>
  <si>
    <t xml:space="preserve">소비기한 인쇄</t>
  </si>
  <si>
    <t xml:space="preserve">Step 2 [충전]</t>
  </si>
  <si>
    <t xml:space="preserve">점검사항</t>
  </si>
  <si>
    <t xml:space="preserve">충전기
점검사항</t>
  </si>
  <si>
    <t xml:space="preserve">1. 충전기의 이상유무 및 청결을 확인한다.
2. 충전 중 기밀도를 매번 확인하고 '별첨' 양식에 기록한다.
3. 명시된 기준에 적합하도록 운전조건을 설정하여 기록한다.</t>
  </si>
  <si>
    <t xml:space="preserve">사용 충전기</t>
  </si>
  <si>
    <t xml:space="preserve">6g 10열 스틱포장기 
(PM-H3003, PM-H3012)</t>
  </si>
  <si>
    <t xml:space="preserve">충전기 RPM</t>
  </si>
  <si>
    <t xml:space="preserve">15 ~ 30</t>
  </si>
  <si>
    <t xml:space="preserve">기밀도</t>
  </si>
  <si>
    <t xml:space="preserve">-550 mmHg, 1분/적합하여야 한다.</t>
  </si>
  <si>
    <t xml:space="preserve">충전기준</t>
  </si>
  <si>
    <t xml:space="preserve">5</t>
  </si>
  <si>
    <t xml:space="preserve">g ± </t>
  </si>
  <si>
    <t xml:space="preserve">3%</t>
  </si>
  <si>
    <t xml:space="preserve">NMT</t>
  </si>
  <si>
    <t xml:space="preserve">5.15</t>
  </si>
  <si>
    <t xml:space="preserve">NLT</t>
  </si>
  <si>
    <t xml:space="preserve">4.85</t>
  </si>
  <si>
    <t xml:space="preserve">실링온도 설정</t>
  </si>
  <si>
    <t xml:space="preserve">설정온도(℃)</t>
  </si>
  <si>
    <t xml:space="preserve">세로히터
실링온도</t>
  </si>
  <si>
    <t xml:space="preserve">가로히터
실링온도</t>
  </si>
  <si>
    <t xml:space="preserve">앞</t>
  </si>
  <si>
    <t xml:space="preserve">뒤</t>
  </si>
  <si>
    <t xml:space="preserve">충전-3</t>
  </si>
  <si>
    <t xml:space="preserve">Step 3 [생산수량 기록 및 환산계산법(포)]</t>
  </si>
  <si>
    <t xml:space="preserve">1. 외포장된 생산량(set)을 포의 개수로 환산하여 기록한다.</t>
  </si>
  <si>
    <t xml:space="preserve">포 ]</t>
  </si>
  <si>
    <t xml:space="preserve">계산법) 생산량 Set * 포의 개수 + 잔여량 = 포</t>
  </si>
  <si>
    <t xml:space="preserve">2. 인수받은 반제품(g)을 포의 개수로 환산하여 기록한다.</t>
  </si>
  <si>
    <t xml:space="preserve">계산법) 인수량 무게(g) ÷ 충전기준(g)}  = 포</t>
  </si>
  <si>
    <t xml:space="preserve">Step 4 [공정 검사]</t>
  </si>
  <si>
    <t xml:space="preserve">채취일자</t>
  </si>
  <si>
    <t xml:space="preserve">채취자</t>
  </si>
  <si>
    <t xml:space="preserve">충전중량(g)</t>
  </si>
  <si>
    <t xml:space="preserve">NQSP-102</t>
  </si>
  <si>
    <t xml:space="preserve">NQSP-110</t>
  </si>
  <si>
    <t xml:space="preserve">3.  QC 판정 : 상기 공정검사 결과와 적합여부를 확인하하고 최종 판정한다.</t>
  </si>
  <si>
    <t xml:space="preserve">Step 5 [수율점검 및 인수인계]</t>
  </si>
  <si>
    <t xml:space="preserve">생산량 (포)</t>
  </si>
  <si>
    <t xml:space="preserve">[Step 3-1 수량 참고 (C)] </t>
  </si>
  <si>
    <t xml:space="preserve">인수량 (포) </t>
  </si>
  <si>
    <t xml:space="preserve">[Step 3-2 수량 참고 (B)] </t>
  </si>
  <si>
    <t xml:space="preserve">97~103%</t>
  </si>
  <si>
    <t xml:space="preserve">[생산량(c) ÷ 인수량(B) x 100]</t>
  </si>
  <si>
    <t xml:space="preserve">자재수령, 정산</t>
  </si>
  <si>
    <t xml:space="preserve">Receiving of packaging component</t>
  </si>
  <si>
    <t xml:space="preserve">1. 해당 제품의 자재가 맞는지 확인한다. (ex 바코드확인, 자재명, 시험번호 확인)</t>
  </si>
  <si>
    <t xml:space="preserve">2. 포장 후 불량품은 불량함을 만들어 보관하였다가 작업이 끝나면 정산, 폐기하고 양품은 자재창고로 반환한다.</t>
  </si>
  <si>
    <t xml:space="preserve">자재코드
번호</t>
  </si>
  <si>
    <t xml:space="preserve">자재명</t>
  </si>
  <si>
    <t xml:space="preserve">이론량</t>
  </si>
  <si>
    <t xml:space="preserve">단위</t>
  </si>
  <si>
    <t xml:space="preserve">인수날짜</t>
  </si>
  <si>
    <t xml:space="preserve">수령량</t>
  </si>
  <si>
    <t xml:space="preserve">사용량</t>
  </si>
  <si>
    <t xml:space="preserve">반환량</t>
  </si>
  <si>
    <t xml:space="preserve">폐기량</t>
  </si>
  <si>
    <t xml:space="preserve">시험번호</t>
  </si>
  <si>
    <t xml:space="preserve">30017942</t>
  </si>
  <si>
    <t xml:space="preserve">케이스</t>
  </si>
  <si>
    <t xml:space="preserve">1,000.000</t>
  </si>
  <si>
    <t xml:space="preserve">EA</t>
  </si>
  <si>
    <t xml:space="preserve">30017977</t>
  </si>
  <si>
    <t xml:space="preserve">분말롤파우치</t>
  </si>
  <si>
    <t xml:space="preserve">480.000</t>
  </si>
  <si>
    <t xml:space="preserve">M</t>
  </si>
  <si>
    <t xml:space="preserve">30014562</t>
  </si>
  <si>
    <t xml:space="preserve">마감스티커</t>
  </si>
  <si>
    <t xml:space="preserve">30017943</t>
  </si>
  <si>
    <t xml:space="preserve">카톤</t>
  </si>
  <si>
    <t xml:space="preserve">83.300</t>
  </si>
  <si>
    <t xml:space="preserve">40002973</t>
  </si>
  <si>
    <t xml:space="preserve">기타</t>
  </si>
  <si>
    <t xml:space="preserve">서명/날짜</t>
  </si>
  <si>
    <t xml:space="preserve">카톤라벨(Shipper) 수량관리</t>
  </si>
  <si>
    <t xml:space="preserve">1. 작업자는 해당제품의 카톤라벨을 카톤수량만큼 발행하고 발행된 수량 및 사용된 수량, 폐기된 수량을 확인하여 기록한다. </t>
  </si>
  <si>
    <t xml:space="preserve">2. 공정관리 담당자는 발행된 카톤라벨의 정보가 맞는지 확인하고 서명한다.</t>
  </si>
  <si>
    <t xml:space="preserve">3. 카톤라벨 1부를 제지서 뒷면에 부착한다.</t>
  </si>
  <si>
    <t xml:space="preserve">발행일자</t>
  </si>
  <si>
    <t xml:space="preserve">발행수량</t>
  </si>
  <si>
    <t xml:space="preserve">발행자</t>
  </si>
  <si>
    <t xml:space="preserve">QC 확인</t>
  </si>
  <si>
    <t xml:space="preserve">포장-1</t>
  </si>
  <si>
    <t xml:space="preserve">Packaging</t>
  </si>
  <si>
    <r>
      <rPr>
        <b val="true"/>
        <sz val="9"/>
        <color theme="1"/>
        <rFont val="맑은 고딕"/>
        <family val="3"/>
        <charset val="129"/>
      </rPr>
      <t xml:space="preserve">[작업설비]
</t>
    </r>
    <r>
      <rPr>
        <sz val="9"/>
        <color theme="1"/>
        <rFont val="맑은 고딕"/>
        <family val="3"/>
        <charset val="129"/>
      </rPr>
      <t xml:space="preserve">- 주위에 이전제품의 자재 및 문서가 없는지 확인한다.
- 중량선별기를 올바르게 설정하였는지 확인한다.
- 부적합 상자가 비어 있는지 확인한다.
- 포장라인 아래에 인쇄물이 떨어졌는지 확인한다.</t>
    </r>
  </si>
  <si>
    <t xml:space="preserve">포장-2</t>
  </si>
  <si>
    <t xml:space="preserve">3. 해당 제품 외 다른 제품이 있는지 확인한다. (ex 원료, 라벨, 케이스, 반제품, 완제품 등)</t>
  </si>
  <si>
    <t xml:space="preserve">Step 1 [자재 확인] </t>
  </si>
  <si>
    <t xml:space="preserve">1. 포장자재의 외관검사, 인쇄사항, 핀트 등을 확인한다.</t>
  </si>
  <si>
    <r>
      <rPr>
        <sz val="8"/>
        <color theme="1"/>
        <rFont val="맑은 고딕"/>
        <family val="3"/>
        <charset val="129"/>
      </rPr>
      <t xml:space="preserve">2. 표시자재 (라벨, 케이스, 스틱포, 설명서 등)의 견본을 </t>
    </r>
    <r>
      <rPr>
        <b val="true"/>
        <sz val="8"/>
        <color theme="1"/>
        <rFont val="맑은 고딕"/>
        <family val="3"/>
        <charset val="129"/>
      </rPr>
      <t xml:space="preserve">'별첨_표시자재 견본 부착</t>
    </r>
    <r>
      <rPr>
        <sz val="8"/>
        <color theme="1"/>
        <rFont val="맑은 고딕"/>
        <family val="3"/>
        <charset val="129"/>
      </rPr>
      <t xml:space="preserve">'에 부착한다.</t>
    </r>
  </si>
  <si>
    <t xml:space="preserve">3. 자재의 인쇄 유/무 (제조번호, 소비기한 등) 를 확인하고 인쇄작업을 진행한다. </t>
  </si>
  <si>
    <t xml:space="preserve">인쇄 유 □ / 인쇄 무 □</t>
  </si>
  <si>
    <r>
      <rPr>
        <sz val="8"/>
        <color theme="1"/>
        <rFont val="맑은 고딕"/>
        <family val="3"/>
        <charset val="129"/>
      </rPr>
      <t xml:space="preserve">4. 인쇄하는 자재의 견본을 </t>
    </r>
    <r>
      <rPr>
        <b val="true"/>
        <sz val="8"/>
        <color theme="1"/>
        <rFont val="맑은 고딕"/>
        <family val="3"/>
        <charset val="129"/>
      </rPr>
      <t xml:space="preserve">'별첨_자재 인쇄 견본 부착</t>
    </r>
    <r>
      <rPr>
        <sz val="8"/>
        <color theme="1"/>
        <rFont val="맑은 고딕"/>
        <family val="3"/>
        <charset val="129"/>
      </rPr>
      <t xml:space="preserve">'에 부착한다.</t>
    </r>
  </si>
  <si>
    <t xml:space="preserve">Step 2 [포장]</t>
  </si>
  <si>
    <t xml:space="preserve">1. 포장하는 제품의 제조번호 및 소비기한을 확인하고 작업을 진행한다.</t>
  </si>
  <si>
    <t xml:space="preserve">2. 중량선별기의 셋팅값을 설정하여 기록한다.</t>
  </si>
  <si>
    <t xml:space="preserve">중량선별기</t>
  </si>
  <si>
    <t xml:space="preserve">인쇄확인</t>
  </si>
  <si>
    <t xml:space="preserve">경량</t>
  </si>
  <si>
    <t xml:space="preserve">정량</t>
  </si>
  <si>
    <t xml:space="preserve">과량</t>
  </si>
  <si>
    <t xml:space="preserve">소비기한</t>
  </si>
  <si>
    <t xml:space="preserve">3. 자세한 포장방법은 '포장방법설명서'를 참고하여 주시기 바랍니다.</t>
  </si>
  <si>
    <t xml:space="preserve">포장-3</t>
  </si>
  <si>
    <t xml:space="preserve">Step 3 [인수수량 기록 및 환산계산법(Set)]</t>
  </si>
  <si>
    <t xml:space="preserve">1. 인수받은 충전물의 수량을 기록한다.</t>
  </si>
  <si>
    <t xml:space="preserve">2. 충전물의 수량(포)을 세트수량으로 환산하여 기록한다.</t>
  </si>
  <si>
    <t xml:space="preserve">Set]</t>
  </si>
  <si>
    <t xml:space="preserve">계산법) 인수량(포) ÷ 포장단위 = 세트량</t>
  </si>
  <si>
    <t xml:space="preserve">1. 중량(수량)을 합산하여 수율을 기록하고, 차이가 발생하면 관리자에게 보고한다.</t>
  </si>
  <si>
    <t xml:space="preserve">생산량 (Set)</t>
  </si>
  <si>
    <t xml:space="preserve">생산된 수량 (C) </t>
  </si>
  <si>
    <t xml:space="preserve">인수량 (Set)</t>
  </si>
  <si>
    <t xml:space="preserve">97~100(%)</t>
  </si>
  <si>
    <t xml:space="preserve">Step 5 [샘플 채취 및 시험의뢰]</t>
  </si>
  <si>
    <t xml:space="preserve">1. 상기 완제품을 채취하여 QC에 시험의뢰한다.</t>
  </si>
  <si>
    <t xml:space="preserve">시험의뢰일</t>
  </si>
  <si>
    <t xml:space="preserve">의뢰번호</t>
  </si>
  <si>
    <t xml:space="preserve">의뢰자</t>
  </si>
  <si>
    <t xml:space="preserve">2. 포장이 완료되면 완제품 입고대기 장소로 이관한다.</t>
  </si>
  <si>
    <t xml:space="preserve">포장 작업기록</t>
  </si>
  <si>
    <t xml:space="preserve">Operation details</t>
  </si>
  <si>
    <t xml:space="preserve">Operation details/포장작업내용</t>
  </si>
  <si>
    <t xml:space="preserve">Date
포장일자</t>
  </si>
  <si>
    <t xml:space="preserve">Unit
포장단위</t>
  </si>
  <si>
    <t xml:space="preserve">Amount
포장수량</t>
  </si>
  <si>
    <t xml:space="preserve">Total 
packing amount
총포장수량</t>
  </si>
  <si>
    <t xml:space="preserve">Worked Time
포장시간</t>
  </si>
  <si>
    <t xml:space="preserve">Worker No.
포장인원</t>
  </si>
  <si>
    <t xml:space="preserve">Working Hour(h)
작업시간</t>
  </si>
  <si>
    <t xml:space="preserve">Reviewed by    
확인자          </t>
  </si>
  <si>
    <t xml:space="preserve">~</t>
  </si>
  <si>
    <t xml:space="preserve">Operated by / 작업자 </t>
  </si>
  <si>
    <t xml:space="preserve">작업날짜</t>
  </si>
  <si>
    <t xml:space="preserve">생산완료 보고서</t>
  </si>
  <si>
    <t xml:space="preserve">Production Finish Report</t>
  </si>
  <si>
    <t xml:space="preserve">생산 수율 정산</t>
  </si>
  <si>
    <t xml:space="preserve">공정명</t>
  </si>
  <si>
    <t xml:space="preserve">이론생산량(A)</t>
  </si>
  <si>
    <t xml:space="preserve">인수량(B)</t>
  </si>
  <si>
    <t xml:space="preserve">생산량(C)</t>
  </si>
  <si>
    <t xml:space="preserve">공정간 수율(C/BX100)</t>
  </si>
  <si>
    <t xml:space="preserve">생산수율(C/AX100)</t>
  </si>
  <si>
    <t xml:space="preserve">유동층조립 (g)</t>
  </si>
  <si>
    <t xml:space="preserve">140,319.000</t>
  </si>
  <si>
    <t xml:space="preserve">건조 (g)</t>
  </si>
  <si>
    <t xml:space="preserve">0.000</t>
  </si>
  <si>
    <t xml:space="preserve">혼합 (g)</t>
  </si>
  <si>
    <t xml:space="preserve">충전 (포)</t>
  </si>
  <si>
    <t xml:space="preserve">포장 (set)</t>
  </si>
  <si>
    <t xml:space="preserve">보관품</t>
  </si>
  <si>
    <t xml:space="preserve">입고수량</t>
  </si>
  <si>
    <t xml:space="preserve">작업 공수 정산</t>
  </si>
  <si>
    <t xml:space="preserve">작업일자</t>
  </si>
  <si>
    <t xml:space="preserve">투입인원</t>
  </si>
  <si>
    <t xml:space="preserve">소요공수</t>
  </si>
  <si>
    <t xml:space="preserve">표준공수</t>
  </si>
  <si>
    <t xml:space="preserve">충전&amp;포장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</si>
</sst>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_-* #,##0.00_-;\-* #,##0.00_-;_-* \-??_-;_-@_-"/>
    <numFmt numFmtId="166" formatCode="#,##0;[RED]\-#,##0"/>
    <numFmt numFmtId="167" formatCode="#,##0.00;[RED]\-#,##0.00"/>
    <numFmt numFmtId="168" formatCode="0%"/>
    <numFmt numFmtId="169" formatCode="_-* #,##0_-;\-* #,##0_-;_-* \-_-;_-@_-"/>
    <numFmt numFmtId="170" formatCode="_(* #,##0_);_(* \(#,##0\);_(* \-_);_(@_)"/>
    <numFmt numFmtId="171" formatCode="#.#"/>
    <numFmt numFmtId="172" formatCode="_-\₩* #,##0_-;&quot;-₩&quot;* #,##0_-;_-\₩* \-_-;_-@_-"/>
    <numFmt numFmtId="173" formatCode="yyyy&quot;년 &quot;m&quot;월 &quot;d\일;@"/>
    <numFmt numFmtId="174" formatCode="0\ %"/>
    <numFmt numFmtId="175" formatCode="#,##0.00_ "/>
    <numFmt numFmtId="176" formatCode="#,##0_ "/>
    <numFmt numFmtId="177" formatCode="#,##0"/>
    <numFmt numFmtId="178" formatCode="@"/>
    <numFmt numFmtId="179" formatCode="yyyy&quot;년 &quot;mm&quot;월 &quot;dd\일"/>
    <numFmt numFmtId="180" formatCode="0_ "/>
    <numFmt numFmtId="181" formatCode="0.0000%"/>
    <numFmt numFmtId="182" formatCode="0.00_);[RED]\(0.00\)"/>
    <numFmt numFmtId="183" formatCode="#,##0.000_);[RED]\(#,##0.000\)"/>
    <numFmt numFmtId="184" formatCode="#,##0.00_);[RED]\(#,##0.00\)"/>
    <numFmt numFmtId="185" formatCode="#,##0.0_ "/>
    <numFmt numFmtId="186" formatCode="0_);[RED]\(0\)"/>
    <numFmt numFmtId="187" formatCode="_-* #,##0.000_-;\-* #,##0.000_-;_-* \-_-;_-@_-"/>
    <numFmt numFmtId="188" formatCode="_-* #,##0.00_-;\-* #,##0.00_-;_-* \-_-;_-@_-"/>
    <numFmt numFmtId="189" formatCode="#,##0.000_ "/>
    <numFmt numFmtId="190" formatCode="0.0_ "/>
    <numFmt numFmtId="191" formatCode="0.0%"/>
    <numFmt numFmtId="192" formatCode="0.00_ "/>
    <numFmt numFmtId="193" formatCode="General"/>
  </numFmts>
  <fonts count="92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FFFF"/>
      <name val="맑은 고딕"/>
      <family val="3"/>
      <charset val="1"/>
    </font>
    <font>
      <sz val="11"/>
      <color rgb="FFFFFFFF"/>
      <name val="맑은 고딕"/>
      <family val="3"/>
      <charset val="129"/>
    </font>
    <font>
      <sz val="12"/>
      <name val="바탕체"/>
      <family val="1"/>
      <charset val="129"/>
    </font>
    <font>
      <sz val="11"/>
      <color rgb="FF800080"/>
      <name val="맑은 고딕"/>
      <family val="3"/>
      <charset val="1"/>
    </font>
    <font>
      <sz val="11"/>
      <color rgb="FF800080"/>
      <name val="맑은 고딕"/>
      <family val="3"/>
      <charset val="129"/>
    </font>
    <font>
      <b val="true"/>
      <sz val="11"/>
      <color rgb="FFFF9900"/>
      <name val="맑은 고딕"/>
      <family val="3"/>
      <charset val="1"/>
    </font>
    <font>
      <b val="true"/>
      <sz val="11"/>
      <color rgb="FFFF9900"/>
      <name val="맑은 고딕"/>
      <family val="3"/>
      <charset val="129"/>
    </font>
    <font>
      <b val="true"/>
      <sz val="11"/>
      <color rgb="FFFFFFFF"/>
      <name val="맑은 고딕"/>
      <family val="3"/>
      <charset val="1"/>
    </font>
    <font>
      <b val="true"/>
      <sz val="11"/>
      <color rgb="FFFFFFFF"/>
      <name val="맑은 고딕"/>
      <family val="3"/>
      <charset val="129"/>
    </font>
    <font>
      <i val="true"/>
      <sz val="11"/>
      <color rgb="FF808080"/>
      <name val="맑은 고딕"/>
      <family val="3"/>
      <charset val="1"/>
    </font>
    <font>
      <i val="true"/>
      <sz val="11"/>
      <color rgb="FF808080"/>
      <name val="맑은 고딕"/>
      <family val="3"/>
      <charset val="129"/>
    </font>
    <font>
      <sz val="11"/>
      <color rgb="FF008000"/>
      <name val="맑은 고딕"/>
      <family val="3"/>
      <charset val="1"/>
    </font>
    <font>
      <sz val="11"/>
      <color rgb="FF008000"/>
      <name val="맑은 고딕"/>
      <family val="3"/>
      <charset val="129"/>
    </font>
    <font>
      <b val="true"/>
      <sz val="12"/>
      <name val="Arial"/>
      <family val="2"/>
      <charset val="1"/>
    </font>
    <font>
      <b val="true"/>
      <sz val="15"/>
      <color rgb="FF003366"/>
      <name val="맑은 고딕"/>
      <family val="3"/>
      <charset val="1"/>
    </font>
    <font>
      <b val="true"/>
      <sz val="15"/>
      <color rgb="FF003366"/>
      <name val="맑은 고딕"/>
      <family val="3"/>
      <charset val="129"/>
    </font>
    <font>
      <b val="true"/>
      <sz val="13"/>
      <color rgb="FF003366"/>
      <name val="맑은 고딕"/>
      <family val="3"/>
      <charset val="1"/>
    </font>
    <font>
      <b val="true"/>
      <sz val="13"/>
      <color rgb="FF003366"/>
      <name val="맑은 고딕"/>
      <family val="3"/>
      <charset val="129"/>
    </font>
    <font>
      <b val="true"/>
      <sz val="11"/>
      <color rgb="FF003366"/>
      <name val="맑은 고딕"/>
      <family val="3"/>
      <charset val="1"/>
    </font>
    <font>
      <b val="true"/>
      <sz val="11"/>
      <color rgb="FF003366"/>
      <name val="맑은 고딕"/>
      <family val="3"/>
      <charset val="129"/>
    </font>
    <font>
      <u val="single"/>
      <sz val="8.5"/>
      <color rgb="FF0000FF"/>
      <name val="Arial"/>
      <family val="2"/>
      <charset val="1"/>
    </font>
    <font>
      <sz val="11"/>
      <color rgb="FF333399"/>
      <name val="맑은 고딕"/>
      <family val="3"/>
      <charset val="1"/>
    </font>
    <font>
      <sz val="11"/>
      <color rgb="FF333399"/>
      <name val="맑은 고딕"/>
      <family val="3"/>
      <charset val="129"/>
    </font>
    <font>
      <sz val="11"/>
      <color rgb="FFFF9900"/>
      <name val="맑은 고딕"/>
      <family val="3"/>
      <charset val="1"/>
    </font>
    <font>
      <sz val="11"/>
      <color rgb="FFFF9900"/>
      <name val="맑은 고딕"/>
      <family val="3"/>
      <charset val="129"/>
    </font>
    <font>
      <sz val="11"/>
      <color rgb="FF993300"/>
      <name val="맑은 고딕"/>
      <family val="3"/>
      <charset val="1"/>
    </font>
    <font>
      <sz val="11"/>
      <color rgb="FF993300"/>
      <name val="맑은 고딕"/>
      <family val="3"/>
      <charset val="129"/>
    </font>
    <font>
      <sz val="10"/>
      <name val="Arial"/>
      <family val="2"/>
      <charset val="1"/>
    </font>
    <font>
      <sz val="11"/>
      <color theme="1"/>
      <name val="맑은 고딕"/>
      <family val="2"/>
      <charset val="1"/>
    </font>
    <font>
      <sz val="10"/>
      <name val="Courier New"/>
      <family val="3"/>
      <charset val="1"/>
    </font>
    <font>
      <b val="true"/>
      <sz val="11"/>
      <color rgb="FF333333"/>
      <name val="맑은 고딕"/>
      <family val="3"/>
      <charset val="1"/>
    </font>
    <font>
      <b val="true"/>
      <sz val="11"/>
      <color rgb="FF333333"/>
      <name val="맑은 고딕"/>
      <family val="3"/>
      <charset val="129"/>
    </font>
    <font>
      <b val="true"/>
      <sz val="18"/>
      <color rgb="FF003366"/>
      <name val="맑은 고딕"/>
      <family val="3"/>
      <charset val="1"/>
    </font>
    <font>
      <b val="true"/>
      <sz val="18"/>
      <color rgb="FF003366"/>
      <name val="맑은 고딕"/>
      <family val="3"/>
      <charset val="129"/>
    </font>
    <font>
      <b val="true"/>
      <sz val="11"/>
      <color rgb="FF000000"/>
      <name val="맑은 고딕"/>
      <family val="3"/>
      <charset val="1"/>
    </font>
    <font>
      <b val="true"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"/>
    </font>
    <font>
      <sz val="11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name val="돋움체"/>
      <family val="3"/>
      <charset val="129"/>
    </font>
    <font>
      <sz val="11"/>
      <name val="새굴림"/>
      <family val="1"/>
      <charset val="129"/>
    </font>
    <font>
      <sz val="11"/>
      <name val="맑은 고딕"/>
      <family val="3"/>
      <charset val="129"/>
    </font>
    <font>
      <sz val="9"/>
      <name val="맑은 고딕"/>
      <family val="3"/>
      <charset val="129"/>
    </font>
    <font>
      <b val="true"/>
      <sz val="18"/>
      <name val="맑은 고딕"/>
      <family val="3"/>
      <charset val="129"/>
    </font>
    <font>
      <b val="true"/>
      <sz val="9"/>
      <name val="맑은 고딕"/>
      <family val="3"/>
      <charset val="129"/>
    </font>
    <font>
      <b val="true"/>
      <sz val="11"/>
      <name val="맑은 고딕"/>
      <family val="3"/>
      <charset val="129"/>
    </font>
    <font>
      <b val="true"/>
      <sz val="11"/>
      <color theme="0"/>
      <name val="맑은 고딕"/>
      <family val="3"/>
      <charset val="129"/>
    </font>
    <font>
      <b val="true"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b val="true"/>
      <sz val="8"/>
      <name val="맑은 고딕"/>
      <family val="3"/>
      <charset val="129"/>
    </font>
    <font>
      <sz val="6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5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9"/>
      <color theme="5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name val="맑은 고딕"/>
      <family val="2"/>
      <charset val="129"/>
    </font>
    <font>
      <b val="true"/>
      <sz val="10"/>
      <color theme="1"/>
      <name val="맑은 고딕"/>
      <family val="3"/>
      <charset val="129"/>
    </font>
    <font>
      <b val="true"/>
      <sz val="7"/>
      <color theme="1"/>
      <name val="맑은 고딕"/>
      <family val="3"/>
      <charset val="129"/>
    </font>
    <font>
      <i val="true"/>
      <sz val="10"/>
      <name val="맑은 고딕"/>
      <family val="3"/>
      <charset val="129"/>
    </font>
    <font>
      <sz val="10"/>
      <color theme="0" tint="-0.05"/>
      <name val="맑은 고딕"/>
      <family val="3"/>
      <charset val="129"/>
    </font>
    <font>
      <i val="true"/>
      <sz val="6"/>
      <name val="맑은 고딕"/>
      <family val="3"/>
      <charset val="129"/>
    </font>
    <font>
      <sz val="10"/>
      <color theme="1"/>
      <name val="맑은 고딕"/>
      <family val="3"/>
      <charset val="129"/>
    </font>
    <font>
      <b val="true"/>
      <sz val="12"/>
      <color theme="1"/>
      <name val="맑은 고딕"/>
      <family val="3"/>
      <charset val="129"/>
    </font>
    <font>
      <b val="true"/>
      <sz val="14"/>
      <name val="맑은 고딕"/>
      <family val="3"/>
      <charset val="129"/>
    </font>
    <font>
      <b val="true"/>
      <sz val="10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8"/>
      <color theme="1"/>
      <name val="맑은 고딕"/>
      <family val="3"/>
      <charset val="129"/>
    </font>
    <font>
      <b val="true"/>
      <sz val="9"/>
      <color theme="1"/>
      <name val="맑은 고딕"/>
      <family val="3"/>
      <charset val="129"/>
    </font>
    <font>
      <b val="true"/>
      <sz val="8"/>
      <color theme="0"/>
      <name val="맑은 고딕"/>
      <family val="3"/>
      <charset val="129"/>
    </font>
    <font>
      <b val="true"/>
      <sz val="8"/>
      <color theme="1"/>
      <name val="맑은 고딕"/>
      <family val="3"/>
      <charset val="129"/>
    </font>
    <font>
      <b val="true"/>
      <sz val="9"/>
      <color theme="0"/>
      <name val="맑은 고딕"/>
      <family val="3"/>
      <charset val="129"/>
    </font>
    <font>
      <sz val="7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6"/>
      <color theme="1"/>
      <name val="맑은 고딕"/>
      <family val="3"/>
      <charset val="129"/>
    </font>
    <font>
      <b val="true"/>
      <sz val="7.5"/>
      <color theme="1"/>
      <name val="맑은 고딕"/>
      <family val="3"/>
      <charset val="129"/>
    </font>
    <font>
      <b val="true"/>
      <sz val="6"/>
      <color theme="1"/>
      <name val="맑은 고딕"/>
      <family val="3"/>
      <charset val="129"/>
    </font>
    <font>
      <b val="true"/>
      <sz val="6"/>
      <color rgb="FF000000"/>
      <name val="맑은 고딕"/>
      <family val="3"/>
      <charset val="129"/>
    </font>
    <font>
      <b val="true"/>
      <sz val="8"/>
      <color rgb="FF000000"/>
      <name val="맑은 고딕"/>
      <family val="3"/>
      <charset val="129"/>
    </font>
    <font>
      <b val="true"/>
      <sz val="9"/>
      <color theme="5"/>
      <name val="맑은 고딕"/>
      <family val="3"/>
      <charset val="129"/>
    </font>
    <font>
      <b val="true"/>
      <sz val="12"/>
      <name val="맑은 고딕"/>
      <family val="3"/>
      <charset val="129"/>
    </font>
    <font>
      <b val="true"/>
      <sz val="10"/>
      <color theme="5"/>
      <name val="맑은 고딕"/>
      <family val="3"/>
      <charset val="129"/>
    </font>
    <font>
      <sz val="10"/>
      <color theme="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theme="6" tint="0.7999"/>
        <bgColor rgb="FFF2F2F2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ED7D31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ED7D31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D7D31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1"/>
        <bgColor rgb="FF003300"/>
      </patternFill>
    </fill>
    <fill>
      <patternFill patternType="solid">
        <fgColor theme="0"/>
        <bgColor rgb="FFF2F2F2"/>
      </patternFill>
    </fill>
  </fills>
  <borders count="7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/>
      <top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/>
      <right style="hair"/>
      <top style="thin"/>
      <bottom style="thin"/>
      <diagonal/>
    </border>
    <border diagonalUp="false" diagonalDown="false">
      <left style="hair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 style="thin"/>
      <bottom style="double"/>
      <diagonal/>
    </border>
    <border diagonalUp="false" diagonalDown="false">
      <left style="hair"/>
      <right style="hair"/>
      <top style="thin"/>
      <bottom style="double"/>
      <diagonal/>
    </border>
    <border diagonalUp="false" diagonalDown="false">
      <left style="hair"/>
      <right/>
      <top style="thin"/>
      <bottom style="double"/>
      <diagonal/>
    </border>
    <border diagonalUp="false" diagonalDown="false">
      <left/>
      <right style="hair"/>
      <top style="double"/>
      <bottom style="hair"/>
      <diagonal/>
    </border>
    <border diagonalUp="false" diagonalDown="false">
      <left style="hair"/>
      <right style="hair"/>
      <top style="double"/>
      <bottom/>
      <diagonal/>
    </border>
    <border diagonalUp="false" diagonalDown="false">
      <left style="hair"/>
      <right/>
      <top style="double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/>
      <right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true" diagonalDown="false">
      <left style="hair"/>
      <right style="hair"/>
      <top style="hair"/>
      <bottom style="thin"/>
      <diagonal style="hair"/>
    </border>
    <border diagonalUp="false" diagonalDown="false">
      <left/>
      <right style="hair"/>
      <top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 style="thin"/>
      <top style="thin"/>
      <bottom/>
      <diagonal/>
    </border>
    <border diagonalUp="true" diagonalDown="false">
      <left style="hair"/>
      <right/>
      <top style="hair"/>
      <bottom style="thin"/>
      <diagonal style="hair"/>
    </border>
  </borders>
  <cellStyleXfs count="155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6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7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7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7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8" fillId="16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7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8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10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1" fillId="3" borderId="0" applyFont="true" applyBorder="false" applyAlignment="true" applyProtection="false">
      <alignment horizontal="general" vertical="center" textRotation="0" wrapText="false" indent="0" shrinkToFit="false"/>
    </xf>
    <xf numFmtId="164" fontId="12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2" fillId="21" borderId="1" applyFont="true" applyBorder="true" applyAlignment="true" applyProtection="false">
      <alignment horizontal="general" vertical="center" textRotation="0" wrapText="false" indent="0" shrinkToFit="false"/>
    </xf>
    <xf numFmtId="164" fontId="12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3" fillId="21" borderId="1" applyFont="true" applyBorder="true" applyAlignment="true" applyProtection="false">
      <alignment horizontal="general" vertical="center" textRotation="0" wrapText="false" indent="0" shrinkToFit="false"/>
    </xf>
    <xf numFmtId="164" fontId="14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4" fontId="15" fillId="22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8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19" fillId="4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3" applyFont="true" applyBorder="true" applyAlignment="true" applyProtection="false">
      <alignment horizontal="general" vertical="center" textRotation="0" wrapText="false" indent="0" shrinkToFit="false"/>
    </xf>
    <xf numFmtId="164" fontId="20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2" fillId="0" borderId="5" applyFont="true" applyBorder="true" applyAlignment="true" applyProtection="false">
      <alignment horizontal="general" vertical="center" textRotation="0" wrapText="false" indent="0" shrinkToFit="false"/>
    </xf>
    <xf numFmtId="164" fontId="23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4" fillId="0" borderId="6" applyFont="true" applyBorder="true" applyAlignment="true" applyProtection="false">
      <alignment horizontal="general" vertical="center" textRotation="0" wrapText="false" indent="0" shrinkToFit="false"/>
    </xf>
    <xf numFmtId="164" fontId="25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6" fillId="0" borderId="7" applyFont="true" applyBorder="true" applyAlignment="true" applyProtection="false">
      <alignment horizontal="general" vertical="center" textRotation="0" wrapText="false" indent="0" shrinkToFit="false"/>
    </xf>
    <xf numFmtId="164" fontId="25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0" borderId="0" applyFont="true" applyBorder="false" applyAlignment="true" applyProtection="false">
      <alignment horizontal="general" vertical="center" textRotation="0" wrapText="false" indent="0" shrinkToFit="false"/>
    </xf>
    <xf numFmtId="164" fontId="28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8" fillId="7" borderId="1" applyFont="true" applyBorder="true" applyAlignment="true" applyProtection="false">
      <alignment horizontal="general" vertical="center" textRotation="0" wrapText="false" indent="0" shrinkToFit="false"/>
    </xf>
    <xf numFmtId="164" fontId="28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29" fillId="7" borderId="1" applyFont="true" applyBorder="true" applyAlignment="true" applyProtection="false">
      <alignment horizontal="general" vertical="center" textRotation="0" wrapText="false" indent="0" shrinkToFit="false"/>
    </xf>
    <xf numFmtId="164" fontId="30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1" fillId="0" borderId="8" applyFont="true" applyBorder="true" applyAlignment="true" applyProtection="false">
      <alignment horizontal="general" vertical="center" textRotation="0" wrapText="false" indent="0" shrinkToFit="false"/>
    </xf>
    <xf numFmtId="164" fontId="32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3" fillId="23" borderId="0" applyFont="true" applyBorder="false" applyAlignment="true" applyProtection="false">
      <alignment horizontal="general" vertical="center" textRotation="0" wrapText="false" indent="0" shrinkToFit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0" fillId="24" borderId="9" applyFont="true" applyBorder="true" applyAlignment="true" applyProtection="false">
      <alignment horizontal="general" vertical="center" textRotation="0" wrapText="false" indent="0" shrinkToFit="false"/>
    </xf>
    <xf numFmtId="164" fontId="37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7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8" fillId="21" borderId="10" applyFont="true" applyBorder="true" applyAlignment="true" applyProtection="false">
      <alignment horizontal="general" vertical="center" textRotation="0" wrapText="false" indent="0" shrinkToFit="false"/>
    </xf>
    <xf numFmtId="164" fontId="39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0" fillId="0" borderId="0" applyFont="true" applyBorder="false" applyAlignment="true" applyProtection="false">
      <alignment horizontal="general" vertical="center" textRotation="0" wrapText="false" indent="0" shrinkToFit="false"/>
    </xf>
    <xf numFmtId="164" fontId="41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1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3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58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9" fillId="0" borderId="17" xfId="149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9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3" fillId="25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0" borderId="3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49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49" fillId="0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9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49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9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0" borderId="1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1" fillId="2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49" fillId="0" borderId="2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9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2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7" fontId="49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6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0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3" fillId="25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3" fillId="2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3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2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25" borderId="4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9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49" fillId="0" borderId="4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1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9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49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4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49" fillId="0" borderId="4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9" fillId="0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25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25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25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3" fillId="25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0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2" fillId="0" borderId="5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4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0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7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78" fillId="0" borderId="2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0" fontId="7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8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7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1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83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59" fillId="0" borderId="1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2" fontId="59" fillId="0" borderId="1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3" fontId="59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4" fontId="5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3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2" fontId="76" fillId="0" borderId="3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83" fontId="76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25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8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8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8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8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5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5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3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6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6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5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5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5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86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3" fontId="59" fillId="0" borderId="17" xfId="149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8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1" xfId="149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9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59" fillId="0" borderId="0" xfId="149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8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8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6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1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8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2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25" borderId="2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6" fillId="0" borderId="5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27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9" fillId="0" borderId="27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78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7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5" borderId="5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59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88" fontId="59" fillId="0" borderId="0" xfId="1494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8" fontId="59" fillId="0" borderId="0" xfId="139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9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59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3" fillId="25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26" borderId="5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5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2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6" fillId="0" borderId="5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5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2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8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0" fillId="8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3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25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25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7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9" fillId="0" borderId="1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6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75" fillId="0" borderId="3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75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75" fillId="0" borderId="5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2" fontId="59" fillId="0" borderId="1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5" fillId="0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2" fontId="59" fillId="0" borderId="6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5" fillId="0" borderId="5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0" borderId="4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8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8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5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5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5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5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7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2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1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1" fillId="0" borderId="5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1" fillId="0" borderId="3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9" fillId="0" borderId="3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5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5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0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7" fillId="0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7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26" borderId="29" xfId="149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75" fillId="26" borderId="29" xfId="149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75" fillId="26" borderId="17" xfId="149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75" fillId="0" borderId="29" xfId="149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75" fillId="0" borderId="17" xfId="149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5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0" borderId="31" xfId="149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8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7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08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1 2" xfId="21"/>
    <cellStyle name="20% - Accent1 2 2" xfId="22"/>
    <cellStyle name="20% - Accent1 3" xfId="23"/>
    <cellStyle name="20% - Accent1 3 2" xfId="24"/>
    <cellStyle name="20% - Accent1 4" xfId="25"/>
    <cellStyle name="20% - Accent1 4 2" xfId="26"/>
    <cellStyle name="20% - Accent1 4 3" xfId="27"/>
    <cellStyle name="20% - Accent1 4 3 2" xfId="28"/>
    <cellStyle name="20% - Accent1 5" xfId="29"/>
    <cellStyle name="20% - Accent1 5 2" xfId="30"/>
    <cellStyle name="20% - Accent1 6" xfId="31"/>
    <cellStyle name="20% - Accent1 7" xfId="32"/>
    <cellStyle name="20% - Accent1 7 2" xfId="33"/>
    <cellStyle name="20% - Accent1 8" xfId="34"/>
    <cellStyle name="20% - Accent1 9" xfId="35"/>
    <cellStyle name="20% - Accent2" xfId="36"/>
    <cellStyle name="20% - Accent2 2" xfId="37"/>
    <cellStyle name="20% - Accent2 2 2" xfId="38"/>
    <cellStyle name="20% - Accent2 3" xfId="39"/>
    <cellStyle name="20% - Accent2 3 2" xfId="40"/>
    <cellStyle name="20% - Accent2 4" xfId="41"/>
    <cellStyle name="20% - Accent2 4 2" xfId="42"/>
    <cellStyle name="20% - Accent2 4 3" xfId="43"/>
    <cellStyle name="20% - Accent2 4 3 2" xfId="44"/>
    <cellStyle name="20% - Accent2 5" xfId="45"/>
    <cellStyle name="20% - Accent2 5 2" xfId="46"/>
    <cellStyle name="20% - Accent2 6" xfId="47"/>
    <cellStyle name="20% - Accent2 7" xfId="48"/>
    <cellStyle name="20% - Accent2 7 2" xfId="49"/>
    <cellStyle name="20% - Accent2 8" xfId="50"/>
    <cellStyle name="20% - Accent2 9" xfId="51"/>
    <cellStyle name="20% - Accent3" xfId="52"/>
    <cellStyle name="20% - Accent3 2" xfId="53"/>
    <cellStyle name="20% - Accent3 2 2" xfId="54"/>
    <cellStyle name="20% - Accent3 3" xfId="55"/>
    <cellStyle name="20% - Accent3 3 2" xfId="56"/>
    <cellStyle name="20% - Accent3 4" xfId="57"/>
    <cellStyle name="20% - Accent3 4 2" xfId="58"/>
    <cellStyle name="20% - Accent3 4 3" xfId="59"/>
    <cellStyle name="20% - Accent3 4 3 2" xfId="60"/>
    <cellStyle name="20% - Accent3 5" xfId="61"/>
    <cellStyle name="20% - Accent3 5 2" xfId="62"/>
    <cellStyle name="20% - Accent3 6" xfId="63"/>
    <cellStyle name="20% - Accent3 7" xfId="64"/>
    <cellStyle name="20% - Accent3 7 2" xfId="65"/>
    <cellStyle name="20% - Accent3 8" xfId="66"/>
    <cellStyle name="20% - Accent3 9" xfId="67"/>
    <cellStyle name="20% - Accent4" xfId="68"/>
    <cellStyle name="20% - Accent4 2" xfId="69"/>
    <cellStyle name="20% - Accent4 2 2" xfId="70"/>
    <cellStyle name="20% - Accent4 3" xfId="71"/>
    <cellStyle name="20% - Accent4 3 2" xfId="72"/>
    <cellStyle name="20% - Accent4 4" xfId="73"/>
    <cellStyle name="20% - Accent4 4 2" xfId="74"/>
    <cellStyle name="20% - Accent4 4 3" xfId="75"/>
    <cellStyle name="20% - Accent4 4 3 2" xfId="76"/>
    <cellStyle name="20% - Accent4 5" xfId="77"/>
    <cellStyle name="20% - Accent4 5 2" xfId="78"/>
    <cellStyle name="20% - Accent4 6" xfId="79"/>
    <cellStyle name="20% - Accent4 7" xfId="80"/>
    <cellStyle name="20% - Accent4 7 2" xfId="81"/>
    <cellStyle name="20% - Accent4 8" xfId="82"/>
    <cellStyle name="20% - Accent4 9" xfId="83"/>
    <cellStyle name="20% - Accent5" xfId="84"/>
    <cellStyle name="20% - Accent5 2" xfId="85"/>
    <cellStyle name="20% - Accent5 2 2" xfId="86"/>
    <cellStyle name="20% - Accent5 3" xfId="87"/>
    <cellStyle name="20% - Accent5 3 2" xfId="88"/>
    <cellStyle name="20% - Accent5 4" xfId="89"/>
    <cellStyle name="20% - Accent5 4 2" xfId="90"/>
    <cellStyle name="20% - Accent5 4 3" xfId="91"/>
    <cellStyle name="20% - Accent5 4 3 2" xfId="92"/>
    <cellStyle name="20% - Accent5 5" xfId="93"/>
    <cellStyle name="20% - Accent5 5 2" xfId="94"/>
    <cellStyle name="20% - Accent5 6" xfId="95"/>
    <cellStyle name="20% - Accent5 7" xfId="96"/>
    <cellStyle name="20% - Accent5 7 2" xfId="97"/>
    <cellStyle name="20% - Accent5 8" xfId="98"/>
    <cellStyle name="20% - Accent5 9" xfId="99"/>
    <cellStyle name="20% - Accent6" xfId="100"/>
    <cellStyle name="20% - Accent6 2" xfId="101"/>
    <cellStyle name="20% - Accent6 2 2" xfId="102"/>
    <cellStyle name="20% - Accent6 3" xfId="103"/>
    <cellStyle name="20% - Accent6 3 2" xfId="104"/>
    <cellStyle name="20% - Accent6 4" xfId="105"/>
    <cellStyle name="20% - Accent6 4 2" xfId="106"/>
    <cellStyle name="20% - Accent6 4 3" xfId="107"/>
    <cellStyle name="20% - Accent6 4 3 2" xfId="108"/>
    <cellStyle name="20% - Accent6 5" xfId="109"/>
    <cellStyle name="20% - Accent6 5 2" xfId="110"/>
    <cellStyle name="20% - Accent6 6" xfId="111"/>
    <cellStyle name="20% - Accent6 7" xfId="112"/>
    <cellStyle name="20% - Accent6 7 2" xfId="113"/>
    <cellStyle name="20% - Accent6 8" xfId="114"/>
    <cellStyle name="20% - Accent6 9" xfId="115"/>
    <cellStyle name="20% - 강조색3 2" xfId="116"/>
    <cellStyle name="40% - Accent1" xfId="117"/>
    <cellStyle name="40% - Accent1 2" xfId="118"/>
    <cellStyle name="40% - Accent1 2 2" xfId="119"/>
    <cellStyle name="40% - Accent1 3" xfId="120"/>
    <cellStyle name="40% - Accent1 3 2" xfId="121"/>
    <cellStyle name="40% - Accent1 4" xfId="122"/>
    <cellStyle name="40% - Accent1 4 2" xfId="123"/>
    <cellStyle name="40% - Accent1 4 3" xfId="124"/>
    <cellStyle name="40% - Accent1 4 3 2" xfId="125"/>
    <cellStyle name="40% - Accent1 5" xfId="126"/>
    <cellStyle name="40% - Accent1 5 2" xfId="127"/>
    <cellStyle name="40% - Accent1 6" xfId="128"/>
    <cellStyle name="40% - Accent1 7" xfId="129"/>
    <cellStyle name="40% - Accent1 7 2" xfId="130"/>
    <cellStyle name="40% - Accent1 8" xfId="131"/>
    <cellStyle name="40% - Accent1 9" xfId="132"/>
    <cellStyle name="40% - Accent2" xfId="133"/>
    <cellStyle name="40% - Accent2 2" xfId="134"/>
    <cellStyle name="40% - Accent2 2 2" xfId="135"/>
    <cellStyle name="40% - Accent2 3" xfId="136"/>
    <cellStyle name="40% - Accent2 3 2" xfId="137"/>
    <cellStyle name="40% - Accent2 4" xfId="138"/>
    <cellStyle name="40% - Accent2 4 2" xfId="139"/>
    <cellStyle name="40% - Accent2 4 3" xfId="140"/>
    <cellStyle name="40% - Accent2 4 3 2" xfId="141"/>
    <cellStyle name="40% - Accent2 5" xfId="142"/>
    <cellStyle name="40% - Accent2 5 2" xfId="143"/>
    <cellStyle name="40% - Accent2 6" xfId="144"/>
    <cellStyle name="40% - Accent2 7" xfId="145"/>
    <cellStyle name="40% - Accent2 7 2" xfId="146"/>
    <cellStyle name="40% - Accent2 8" xfId="147"/>
    <cellStyle name="40% - Accent2 9" xfId="148"/>
    <cellStyle name="40% - Accent3" xfId="149"/>
    <cellStyle name="40% - Accent3 2" xfId="150"/>
    <cellStyle name="40% - Accent3 2 2" xfId="151"/>
    <cellStyle name="40% - Accent3 3" xfId="152"/>
    <cellStyle name="40% - Accent3 3 2" xfId="153"/>
    <cellStyle name="40% - Accent3 4" xfId="154"/>
    <cellStyle name="40% - Accent3 4 2" xfId="155"/>
    <cellStyle name="40% - Accent3 4 3" xfId="156"/>
    <cellStyle name="40% - Accent3 4 3 2" xfId="157"/>
    <cellStyle name="40% - Accent3 5" xfId="158"/>
    <cellStyle name="40% - Accent3 5 2" xfId="159"/>
    <cellStyle name="40% - Accent3 6" xfId="160"/>
    <cellStyle name="40% - Accent3 7" xfId="161"/>
    <cellStyle name="40% - Accent3 7 2" xfId="162"/>
    <cellStyle name="40% - Accent3 8" xfId="163"/>
    <cellStyle name="40% - Accent3 9" xfId="164"/>
    <cellStyle name="40% - Accent4" xfId="165"/>
    <cellStyle name="40% - Accent4 2" xfId="166"/>
    <cellStyle name="40% - Accent4 2 2" xfId="167"/>
    <cellStyle name="40% - Accent4 3" xfId="168"/>
    <cellStyle name="40% - Accent4 3 2" xfId="169"/>
    <cellStyle name="40% - Accent4 4" xfId="170"/>
    <cellStyle name="40% - Accent4 4 2" xfId="171"/>
    <cellStyle name="40% - Accent4 4 3" xfId="172"/>
    <cellStyle name="40% - Accent4 4 3 2" xfId="173"/>
    <cellStyle name="40% - Accent4 5" xfId="174"/>
    <cellStyle name="40% - Accent4 5 2" xfId="175"/>
    <cellStyle name="40% - Accent4 6" xfId="176"/>
    <cellStyle name="40% - Accent4 7" xfId="177"/>
    <cellStyle name="40% - Accent4 7 2" xfId="178"/>
    <cellStyle name="40% - Accent4 8" xfId="179"/>
    <cellStyle name="40% - Accent4 9" xfId="180"/>
    <cellStyle name="40% - Accent5" xfId="181"/>
    <cellStyle name="40% - Accent5 2" xfId="182"/>
    <cellStyle name="40% - Accent5 2 2" xfId="183"/>
    <cellStyle name="40% - Accent5 3" xfId="184"/>
    <cellStyle name="40% - Accent5 3 2" xfId="185"/>
    <cellStyle name="40% - Accent5 4" xfId="186"/>
    <cellStyle name="40% - Accent5 4 2" xfId="187"/>
    <cellStyle name="40% - Accent5 4 3" xfId="188"/>
    <cellStyle name="40% - Accent5 4 3 2" xfId="189"/>
    <cellStyle name="40% - Accent5 5" xfId="190"/>
    <cellStyle name="40% - Accent5 5 2" xfId="191"/>
    <cellStyle name="40% - Accent5 6" xfId="192"/>
    <cellStyle name="40% - Accent5 7" xfId="193"/>
    <cellStyle name="40% - Accent5 7 2" xfId="194"/>
    <cellStyle name="40% - Accent5 8" xfId="195"/>
    <cellStyle name="40% - Accent5 9" xfId="196"/>
    <cellStyle name="40% - Accent6" xfId="197"/>
    <cellStyle name="40% - Accent6 2" xfId="198"/>
    <cellStyle name="40% - Accent6 2 2" xfId="199"/>
    <cellStyle name="40% - Accent6 3" xfId="200"/>
    <cellStyle name="40% - Accent6 3 2" xfId="201"/>
    <cellStyle name="40% - Accent6 4" xfId="202"/>
    <cellStyle name="40% - Accent6 4 2" xfId="203"/>
    <cellStyle name="40% - Accent6 4 3" xfId="204"/>
    <cellStyle name="40% - Accent6 4 3 2" xfId="205"/>
    <cellStyle name="40% - Accent6 5" xfId="206"/>
    <cellStyle name="40% - Accent6 5 2" xfId="207"/>
    <cellStyle name="40% - Accent6 6" xfId="208"/>
    <cellStyle name="40% - Accent6 7" xfId="209"/>
    <cellStyle name="40% - Accent6 7 2" xfId="210"/>
    <cellStyle name="40% - Accent6 8" xfId="211"/>
    <cellStyle name="40% - Accent6 9" xfId="212"/>
    <cellStyle name="60% - Accent1" xfId="213"/>
    <cellStyle name="60% - Accent1 2" xfId="214"/>
    <cellStyle name="60% - Accent1 2 2" xfId="215"/>
    <cellStyle name="60% - Accent1 3" xfId="216"/>
    <cellStyle name="60% - Accent1 3 2" xfId="217"/>
    <cellStyle name="60% - Accent1 4" xfId="218"/>
    <cellStyle name="60% - Accent1 4 2" xfId="219"/>
    <cellStyle name="60% - Accent1 4 3" xfId="220"/>
    <cellStyle name="60% - Accent1 4 3 2" xfId="221"/>
    <cellStyle name="60% - Accent1 5" xfId="222"/>
    <cellStyle name="60% - Accent1 5 2" xfId="223"/>
    <cellStyle name="60% - Accent1 6" xfId="224"/>
    <cellStyle name="60% - Accent1 7" xfId="225"/>
    <cellStyle name="60% - Accent1 7 2" xfId="226"/>
    <cellStyle name="60% - Accent1 8" xfId="227"/>
    <cellStyle name="60% - Accent1 9" xfId="228"/>
    <cellStyle name="60% - Accent2" xfId="229"/>
    <cellStyle name="60% - Accent2 2" xfId="230"/>
    <cellStyle name="60% - Accent2 2 2" xfId="231"/>
    <cellStyle name="60% - Accent2 3" xfId="232"/>
    <cellStyle name="60% - Accent2 3 2" xfId="233"/>
    <cellStyle name="60% - Accent2 4" xfId="234"/>
    <cellStyle name="60% - Accent2 4 2" xfId="235"/>
    <cellStyle name="60% - Accent2 4 3" xfId="236"/>
    <cellStyle name="60% - Accent2 4 3 2" xfId="237"/>
    <cellStyle name="60% - Accent2 5" xfId="238"/>
    <cellStyle name="60% - Accent2 5 2" xfId="239"/>
    <cellStyle name="60% - Accent2 6" xfId="240"/>
    <cellStyle name="60% - Accent2 7" xfId="241"/>
    <cellStyle name="60% - Accent2 7 2" xfId="242"/>
    <cellStyle name="60% - Accent2 8" xfId="243"/>
    <cellStyle name="60% - Accent2 9" xfId="244"/>
    <cellStyle name="60% - Accent3" xfId="245"/>
    <cellStyle name="60% - Accent3 2" xfId="246"/>
    <cellStyle name="60% - Accent3 2 2" xfId="247"/>
    <cellStyle name="60% - Accent3 3" xfId="248"/>
    <cellStyle name="60% - Accent3 3 2" xfId="249"/>
    <cellStyle name="60% - Accent3 4" xfId="250"/>
    <cellStyle name="60% - Accent3 4 2" xfId="251"/>
    <cellStyle name="60% - Accent3 4 3" xfId="252"/>
    <cellStyle name="60% - Accent3 4 3 2" xfId="253"/>
    <cellStyle name="60% - Accent3 5" xfId="254"/>
    <cellStyle name="60% - Accent3 5 2" xfId="255"/>
    <cellStyle name="60% - Accent3 6" xfId="256"/>
    <cellStyle name="60% - Accent3 7" xfId="257"/>
    <cellStyle name="60% - Accent3 7 2" xfId="258"/>
    <cellStyle name="60% - Accent3 8" xfId="259"/>
    <cellStyle name="60% - Accent3 9" xfId="260"/>
    <cellStyle name="60% - Accent4" xfId="261"/>
    <cellStyle name="60% - Accent4 2" xfId="262"/>
    <cellStyle name="60% - Accent4 2 2" xfId="263"/>
    <cellStyle name="60% - Accent4 3" xfId="264"/>
    <cellStyle name="60% - Accent4 3 2" xfId="265"/>
    <cellStyle name="60% - Accent4 4" xfId="266"/>
    <cellStyle name="60% - Accent4 4 2" xfId="267"/>
    <cellStyle name="60% - Accent4 4 3" xfId="268"/>
    <cellStyle name="60% - Accent4 4 3 2" xfId="269"/>
    <cellStyle name="60% - Accent4 5" xfId="270"/>
    <cellStyle name="60% - Accent4 5 2" xfId="271"/>
    <cellStyle name="60% - Accent4 6" xfId="272"/>
    <cellStyle name="60% - Accent4 7" xfId="273"/>
    <cellStyle name="60% - Accent4 7 2" xfId="274"/>
    <cellStyle name="60% - Accent4 8" xfId="275"/>
    <cellStyle name="60% - Accent4 9" xfId="276"/>
    <cellStyle name="60% - Accent5" xfId="277"/>
    <cellStyle name="60% - Accent5 2" xfId="278"/>
    <cellStyle name="60% - Accent5 2 2" xfId="279"/>
    <cellStyle name="60% - Accent5 3" xfId="280"/>
    <cellStyle name="60% - Accent5 3 2" xfId="281"/>
    <cellStyle name="60% - Accent5 4" xfId="282"/>
    <cellStyle name="60% - Accent5 4 2" xfId="283"/>
    <cellStyle name="60% - Accent5 4 3" xfId="284"/>
    <cellStyle name="60% - Accent5 4 3 2" xfId="285"/>
    <cellStyle name="60% - Accent5 5" xfId="286"/>
    <cellStyle name="60% - Accent5 5 2" xfId="287"/>
    <cellStyle name="60% - Accent5 6" xfId="288"/>
    <cellStyle name="60% - Accent5 7" xfId="289"/>
    <cellStyle name="60% - Accent5 7 2" xfId="290"/>
    <cellStyle name="60% - Accent5 8" xfId="291"/>
    <cellStyle name="60% - Accent5 9" xfId="292"/>
    <cellStyle name="60% - Accent6" xfId="293"/>
    <cellStyle name="60% - Accent6 2" xfId="294"/>
    <cellStyle name="60% - Accent6 2 2" xfId="295"/>
    <cellStyle name="60% - Accent6 3" xfId="296"/>
    <cellStyle name="60% - Accent6 3 2" xfId="297"/>
    <cellStyle name="60% - Accent6 4" xfId="298"/>
    <cellStyle name="60% - Accent6 4 2" xfId="299"/>
    <cellStyle name="60% - Accent6 4 3" xfId="300"/>
    <cellStyle name="60% - Accent6 4 3 2" xfId="301"/>
    <cellStyle name="60% - Accent6 5" xfId="302"/>
    <cellStyle name="60% - Accent6 5 2" xfId="303"/>
    <cellStyle name="60% - Accent6 6" xfId="304"/>
    <cellStyle name="60% - Accent6 7" xfId="305"/>
    <cellStyle name="60% - Accent6 7 2" xfId="306"/>
    <cellStyle name="60% - Accent6 8" xfId="307"/>
    <cellStyle name="60% - Accent6 9" xfId="308"/>
    <cellStyle name="??&amp;O?&amp;H?_x0008__x000f__x0007_?_x0007__x0001__x0001_" xfId="309"/>
    <cellStyle name="??&amp;O?&amp;H?_x0008_??_x0007__x0001__x0001_" xfId="310"/>
    <cellStyle name="Accent1" xfId="311"/>
    <cellStyle name="Accent1 2" xfId="312"/>
    <cellStyle name="Accent1 2 2" xfId="313"/>
    <cellStyle name="Accent1 3" xfId="314"/>
    <cellStyle name="Accent1 3 2" xfId="315"/>
    <cellStyle name="Accent1 4" xfId="316"/>
    <cellStyle name="Accent1 4 2" xfId="317"/>
    <cellStyle name="Accent1 4 3" xfId="318"/>
    <cellStyle name="Accent1 4 3 2" xfId="319"/>
    <cellStyle name="Accent1 5" xfId="320"/>
    <cellStyle name="Accent1 5 2" xfId="321"/>
    <cellStyle name="Accent1 6" xfId="322"/>
    <cellStyle name="Accent1 7" xfId="323"/>
    <cellStyle name="Accent1 7 2" xfId="324"/>
    <cellStyle name="Accent1 8" xfId="325"/>
    <cellStyle name="Accent1 9" xfId="326"/>
    <cellStyle name="Accent2" xfId="327"/>
    <cellStyle name="Accent2 2" xfId="328"/>
    <cellStyle name="Accent2 2 2" xfId="329"/>
    <cellStyle name="Accent2 3" xfId="330"/>
    <cellStyle name="Accent2 3 2" xfId="331"/>
    <cellStyle name="Accent2 4" xfId="332"/>
    <cellStyle name="Accent2 4 2" xfId="333"/>
    <cellStyle name="Accent2 4 3" xfId="334"/>
    <cellStyle name="Accent2 4 3 2" xfId="335"/>
    <cellStyle name="Accent2 5" xfId="336"/>
    <cellStyle name="Accent2 5 2" xfId="337"/>
    <cellStyle name="Accent2 6" xfId="338"/>
    <cellStyle name="Accent2 7" xfId="339"/>
    <cellStyle name="Accent2 7 2" xfId="340"/>
    <cellStyle name="Accent2 8" xfId="341"/>
    <cellStyle name="Accent2 9" xfId="342"/>
    <cellStyle name="Accent3" xfId="343"/>
    <cellStyle name="Accent3 2" xfId="344"/>
    <cellStyle name="Accent3 2 2" xfId="345"/>
    <cellStyle name="Accent3 3" xfId="346"/>
    <cellStyle name="Accent3 3 2" xfId="347"/>
    <cellStyle name="Accent3 4" xfId="348"/>
    <cellStyle name="Accent3 4 2" xfId="349"/>
    <cellStyle name="Accent3 4 3" xfId="350"/>
    <cellStyle name="Accent3 4 3 2" xfId="351"/>
    <cellStyle name="Accent3 5" xfId="352"/>
    <cellStyle name="Accent3 5 2" xfId="353"/>
    <cellStyle name="Accent3 6" xfId="354"/>
    <cellStyle name="Accent3 7" xfId="355"/>
    <cellStyle name="Accent3 7 2" xfId="356"/>
    <cellStyle name="Accent3 8" xfId="357"/>
    <cellStyle name="Accent3 9" xfId="358"/>
    <cellStyle name="Accent4" xfId="359"/>
    <cellStyle name="Accent4 2" xfId="360"/>
    <cellStyle name="Accent4 2 2" xfId="361"/>
    <cellStyle name="Accent4 3" xfId="362"/>
    <cellStyle name="Accent4 3 2" xfId="363"/>
    <cellStyle name="Accent4 4" xfId="364"/>
    <cellStyle name="Accent4 4 2" xfId="365"/>
    <cellStyle name="Accent4 4 3" xfId="366"/>
    <cellStyle name="Accent4 4 3 2" xfId="367"/>
    <cellStyle name="Accent4 5" xfId="368"/>
    <cellStyle name="Accent4 5 2" xfId="369"/>
    <cellStyle name="Accent4 6" xfId="370"/>
    <cellStyle name="Accent4 7" xfId="371"/>
    <cellStyle name="Accent4 7 2" xfId="372"/>
    <cellStyle name="Accent4 8" xfId="373"/>
    <cellStyle name="Accent4 9" xfId="374"/>
    <cellStyle name="Accent5" xfId="375"/>
    <cellStyle name="Accent5 2" xfId="376"/>
    <cellStyle name="Accent5 2 2" xfId="377"/>
    <cellStyle name="Accent5 3" xfId="378"/>
    <cellStyle name="Accent5 3 2" xfId="379"/>
    <cellStyle name="Accent5 4" xfId="380"/>
    <cellStyle name="Accent5 4 2" xfId="381"/>
    <cellStyle name="Accent5 4 3" xfId="382"/>
    <cellStyle name="Accent5 4 3 2" xfId="383"/>
    <cellStyle name="Accent5 5" xfId="384"/>
    <cellStyle name="Accent5 5 2" xfId="385"/>
    <cellStyle name="Accent5 6" xfId="386"/>
    <cellStyle name="Accent5 7" xfId="387"/>
    <cellStyle name="Accent5 7 2" xfId="388"/>
    <cellStyle name="Accent5 8" xfId="389"/>
    <cellStyle name="Accent5 9" xfId="390"/>
    <cellStyle name="Accent6" xfId="391"/>
    <cellStyle name="Accent6 2" xfId="392"/>
    <cellStyle name="Accent6 2 2" xfId="393"/>
    <cellStyle name="Accent6 3" xfId="394"/>
    <cellStyle name="Accent6 3 2" xfId="395"/>
    <cellStyle name="Accent6 4" xfId="396"/>
    <cellStyle name="Accent6 4 2" xfId="397"/>
    <cellStyle name="Accent6 4 3" xfId="398"/>
    <cellStyle name="Accent6 4 3 2" xfId="399"/>
    <cellStyle name="Accent6 5" xfId="400"/>
    <cellStyle name="Accent6 5 2" xfId="401"/>
    <cellStyle name="Accent6 6" xfId="402"/>
    <cellStyle name="Accent6 7" xfId="403"/>
    <cellStyle name="Accent6 7 2" xfId="404"/>
    <cellStyle name="Accent6 8" xfId="405"/>
    <cellStyle name="Accent6 9" xfId="406"/>
    <cellStyle name="Bad 1" xfId="407"/>
    <cellStyle name="Bad 2" xfId="408"/>
    <cellStyle name="Bad 2 2" xfId="409"/>
    <cellStyle name="Bad 3" xfId="410"/>
    <cellStyle name="Bad 3 2" xfId="411"/>
    <cellStyle name="Bad 4" xfId="412"/>
    <cellStyle name="Bad 4 2" xfId="413"/>
    <cellStyle name="Bad 4 3" xfId="414"/>
    <cellStyle name="Bad 4 3 2" xfId="415"/>
    <cellStyle name="Bad 5" xfId="416"/>
    <cellStyle name="Bad 5 2" xfId="417"/>
    <cellStyle name="Bad 6" xfId="418"/>
    <cellStyle name="Bad 7" xfId="419"/>
    <cellStyle name="Bad 7 2" xfId="420"/>
    <cellStyle name="Bad 8" xfId="421"/>
    <cellStyle name="Bad 9" xfId="422"/>
    <cellStyle name="Calculation" xfId="423"/>
    <cellStyle name="Calculation 10" xfId="424"/>
    <cellStyle name="Calculation 2" xfId="425"/>
    <cellStyle name="Calculation 2 2" xfId="426"/>
    <cellStyle name="Calculation 2 2 2" xfId="427"/>
    <cellStyle name="Calculation 2 2 2 2" xfId="428"/>
    <cellStyle name="Calculation 2 2 2 3" xfId="429"/>
    <cellStyle name="Calculation 2 2 3" xfId="430"/>
    <cellStyle name="Calculation 2 3" xfId="431"/>
    <cellStyle name="Calculation 2 3 2" xfId="432"/>
    <cellStyle name="Calculation 2 3 3" xfId="433"/>
    <cellStyle name="Calculation 2 4" xfId="434"/>
    <cellStyle name="Calculation 3" xfId="435"/>
    <cellStyle name="Calculation 3 2" xfId="436"/>
    <cellStyle name="Calculation 3 2 2" xfId="437"/>
    <cellStyle name="Calculation 3 2 2 2" xfId="438"/>
    <cellStyle name="Calculation 3 2 2 3" xfId="439"/>
    <cellStyle name="Calculation 3 2 3" xfId="440"/>
    <cellStyle name="Calculation 3 2 4" xfId="441"/>
    <cellStyle name="Calculation 3 3" xfId="442"/>
    <cellStyle name="Calculation 3 3 2" xfId="443"/>
    <cellStyle name="Calculation 3 3 3" xfId="444"/>
    <cellStyle name="Calculation 3 4" xfId="445"/>
    <cellStyle name="Calculation 4" xfId="446"/>
    <cellStyle name="Calculation 4 2" xfId="447"/>
    <cellStyle name="Calculation 4 2 2" xfId="448"/>
    <cellStyle name="Calculation 4 2 2 2" xfId="449"/>
    <cellStyle name="Calculation 4 2 2 3" xfId="450"/>
    <cellStyle name="Calculation 4 2 3" xfId="451"/>
    <cellStyle name="Calculation 4 3" xfId="452"/>
    <cellStyle name="Calculation 4 3 2" xfId="453"/>
    <cellStyle name="Calculation 4 3 2 2" xfId="454"/>
    <cellStyle name="Calculation 4 3 2 2 2" xfId="455"/>
    <cellStyle name="Calculation 4 3 2 2 3" xfId="456"/>
    <cellStyle name="Calculation 4 3 2 3" xfId="457"/>
    <cellStyle name="Calculation 4 3 3" xfId="458"/>
    <cellStyle name="Calculation 4 3 3 2" xfId="459"/>
    <cellStyle name="Calculation 4 3 3 3" xfId="460"/>
    <cellStyle name="Calculation 4 3 4" xfId="461"/>
    <cellStyle name="Calculation 4 4" xfId="462"/>
    <cellStyle name="Calculation 4 4 2" xfId="463"/>
    <cellStyle name="Calculation 4 4 3" xfId="464"/>
    <cellStyle name="Calculation 4 5" xfId="465"/>
    <cellStyle name="Calculation 5" xfId="466"/>
    <cellStyle name="Calculation 5 2" xfId="467"/>
    <cellStyle name="Calculation 5 2 2" xfId="468"/>
    <cellStyle name="Calculation 5 2 2 2" xfId="469"/>
    <cellStyle name="Calculation 5 2 2 3" xfId="470"/>
    <cellStyle name="Calculation 5 2 3" xfId="471"/>
    <cellStyle name="Calculation 5 3" xfId="472"/>
    <cellStyle name="Calculation 5 3 2" xfId="473"/>
    <cellStyle name="Calculation 5 3 3" xfId="474"/>
    <cellStyle name="Calculation 5 4" xfId="475"/>
    <cellStyle name="Calculation 6" xfId="476"/>
    <cellStyle name="Calculation 6 2" xfId="477"/>
    <cellStyle name="Calculation 6 2 2" xfId="478"/>
    <cellStyle name="Calculation 6 2 3" xfId="479"/>
    <cellStyle name="Calculation 6 3" xfId="480"/>
    <cellStyle name="Calculation 7" xfId="481"/>
    <cellStyle name="Calculation 7 2" xfId="482"/>
    <cellStyle name="Calculation 7 2 2" xfId="483"/>
    <cellStyle name="Calculation 7 2 2 2" xfId="484"/>
    <cellStyle name="Calculation 7 2 2 3" xfId="485"/>
    <cellStyle name="Calculation 7 2 3" xfId="486"/>
    <cellStyle name="Calculation 7 3" xfId="487"/>
    <cellStyle name="Calculation 7 3 2" xfId="488"/>
    <cellStyle name="Calculation 7 3 3" xfId="489"/>
    <cellStyle name="Calculation 7 4" xfId="490"/>
    <cellStyle name="Calculation 8" xfId="491"/>
    <cellStyle name="Calculation 8 2" xfId="492"/>
    <cellStyle name="Calculation 8 2 2" xfId="493"/>
    <cellStyle name="Calculation 8 2 3" xfId="494"/>
    <cellStyle name="Calculation 8 3" xfId="495"/>
    <cellStyle name="Calculation 8 4" xfId="496"/>
    <cellStyle name="Calculation 9" xfId="497"/>
    <cellStyle name="Calculation 9 2" xfId="498"/>
    <cellStyle name="Calculation 9 2 2" xfId="499"/>
    <cellStyle name="Calculation 9 3" xfId="500"/>
    <cellStyle name="Calculation 9 4" xfId="501"/>
    <cellStyle name="Check Cell" xfId="502"/>
    <cellStyle name="Check Cell 2" xfId="503"/>
    <cellStyle name="Check Cell 2 2" xfId="504"/>
    <cellStyle name="Check Cell 3" xfId="505"/>
    <cellStyle name="Check Cell 3 2" xfId="506"/>
    <cellStyle name="Check Cell 4" xfId="507"/>
    <cellStyle name="Check Cell 4 2" xfId="508"/>
    <cellStyle name="Check Cell 4 3" xfId="509"/>
    <cellStyle name="Check Cell 4 3 2" xfId="510"/>
    <cellStyle name="Check Cell 5" xfId="511"/>
    <cellStyle name="Check Cell 5 2" xfId="512"/>
    <cellStyle name="Check Cell 6" xfId="513"/>
    <cellStyle name="Check Cell 7" xfId="514"/>
    <cellStyle name="Check Cell 7 2" xfId="515"/>
    <cellStyle name="Check Cell 8" xfId="516"/>
    <cellStyle name="Check Cell 9" xfId="517"/>
    <cellStyle name="Comma 2" xfId="518"/>
    <cellStyle name="Comma 2 2" xfId="519"/>
    <cellStyle name="Comma 2 2 2" xfId="520"/>
    <cellStyle name="Comma 2 2 2 2" xfId="521"/>
    <cellStyle name="Comma 2 2 2 2 2" xfId="522"/>
    <cellStyle name="Comma 2 2 2 3" xfId="523"/>
    <cellStyle name="Comma 2 2 3" xfId="524"/>
    <cellStyle name="Comma 2 2 3 2" xfId="525"/>
    <cellStyle name="Comma 2 2 4" xfId="526"/>
    <cellStyle name="Comma 2 2 4 2" xfId="527"/>
    <cellStyle name="Comma 2 2 5" xfId="528"/>
    <cellStyle name="Comma 2 3" xfId="529"/>
    <cellStyle name="Comma 2 3 2" xfId="530"/>
    <cellStyle name="Comma 2 3 2 2" xfId="531"/>
    <cellStyle name="Comma 2 3 3" xfId="532"/>
    <cellStyle name="Comma 2 3 3 2" xfId="533"/>
    <cellStyle name="Comma 2 3 4" xfId="534"/>
    <cellStyle name="Comma 2 3 4 2" xfId="535"/>
    <cellStyle name="Comma 2 3 5" xfId="536"/>
    <cellStyle name="Comma 2 4" xfId="537"/>
    <cellStyle name="Comma 2 4 2" xfId="538"/>
    <cellStyle name="Comma 2 4 2 2" xfId="539"/>
    <cellStyle name="Comma 2 4 3" xfId="540"/>
    <cellStyle name="Comma 2 5" xfId="541"/>
    <cellStyle name="Comma 2 5 2" xfId="542"/>
    <cellStyle name="Comma 2 6" xfId="543"/>
    <cellStyle name="Comma 2 6 2" xfId="544"/>
    <cellStyle name="Comma 2 7" xfId="545"/>
    <cellStyle name="Comma [0]_1996 SALES " xfId="546"/>
    <cellStyle name="Comma_1996 SALES " xfId="547"/>
    <cellStyle name="Currency [0]_1996 SALES " xfId="548"/>
    <cellStyle name="Currency_1996 SALES " xfId="549"/>
    <cellStyle name="Explanatory Text" xfId="550"/>
    <cellStyle name="Explanatory Text 2" xfId="551"/>
    <cellStyle name="Explanatory Text 2 2" xfId="552"/>
    <cellStyle name="Explanatory Text 3" xfId="553"/>
    <cellStyle name="Explanatory Text 3 2" xfId="554"/>
    <cellStyle name="Explanatory Text 4" xfId="555"/>
    <cellStyle name="Explanatory Text 4 2" xfId="556"/>
    <cellStyle name="Explanatory Text 4 3" xfId="557"/>
    <cellStyle name="Explanatory Text 4 3 2" xfId="558"/>
    <cellStyle name="Explanatory Text 5" xfId="559"/>
    <cellStyle name="Explanatory Text 5 2" xfId="560"/>
    <cellStyle name="Explanatory Text 6" xfId="561"/>
    <cellStyle name="Explanatory Text 7" xfId="562"/>
    <cellStyle name="Explanatory Text 7 2" xfId="563"/>
    <cellStyle name="Explanatory Text 8" xfId="564"/>
    <cellStyle name="Explanatory Text 9" xfId="565"/>
    <cellStyle name="Good 10" xfId="566"/>
    <cellStyle name="Good 2" xfId="567"/>
    <cellStyle name="Good 2 2" xfId="568"/>
    <cellStyle name="Good 3" xfId="569"/>
    <cellStyle name="Good 3 2" xfId="570"/>
    <cellStyle name="Good 4" xfId="571"/>
    <cellStyle name="Good 4 2" xfId="572"/>
    <cellStyle name="Good 4 3" xfId="573"/>
    <cellStyle name="Good 4 3 2" xfId="574"/>
    <cellStyle name="Good 5" xfId="575"/>
    <cellStyle name="Good 5 2" xfId="576"/>
    <cellStyle name="Good 6" xfId="577"/>
    <cellStyle name="Good 7" xfId="578"/>
    <cellStyle name="Good 7 2" xfId="579"/>
    <cellStyle name="Good 8" xfId="580"/>
    <cellStyle name="Good 9" xfId="581"/>
    <cellStyle name="Header1" xfId="582"/>
    <cellStyle name="Header2" xfId="583"/>
    <cellStyle name="Header2 2" xfId="584"/>
    <cellStyle name="Header2 2 2" xfId="585"/>
    <cellStyle name="Heading 1 11" xfId="586"/>
    <cellStyle name="Heading 1 2" xfId="587"/>
    <cellStyle name="Heading 1 2 2" xfId="588"/>
    <cellStyle name="Heading 1 3" xfId="589"/>
    <cellStyle name="Heading 1 3 2" xfId="590"/>
    <cellStyle name="Heading 1 4" xfId="591"/>
    <cellStyle name="Heading 1 4 2" xfId="592"/>
    <cellStyle name="Heading 1 4 3" xfId="593"/>
    <cellStyle name="Heading 1 4 3 2" xfId="594"/>
    <cellStyle name="Heading 1 5" xfId="595"/>
    <cellStyle name="Heading 1 5 2" xfId="596"/>
    <cellStyle name="Heading 1 6" xfId="597"/>
    <cellStyle name="Heading 1 7" xfId="598"/>
    <cellStyle name="Heading 1 7 2" xfId="599"/>
    <cellStyle name="Heading 1 8" xfId="600"/>
    <cellStyle name="Heading 1 9" xfId="601"/>
    <cellStyle name="Heading 2 12" xfId="602"/>
    <cellStyle name="Heading 2 2" xfId="603"/>
    <cellStyle name="Heading 2 2 2" xfId="604"/>
    <cellStyle name="Heading 2 3" xfId="605"/>
    <cellStyle name="Heading 2 3 2" xfId="606"/>
    <cellStyle name="Heading 2 4" xfId="607"/>
    <cellStyle name="Heading 2 4 2" xfId="608"/>
    <cellStyle name="Heading 2 4 3" xfId="609"/>
    <cellStyle name="Heading 2 4 3 2" xfId="610"/>
    <cellStyle name="Heading 2 5" xfId="611"/>
    <cellStyle name="Heading 2 5 2" xfId="612"/>
    <cellStyle name="Heading 2 6" xfId="613"/>
    <cellStyle name="Heading 2 7" xfId="614"/>
    <cellStyle name="Heading 2 7 2" xfId="615"/>
    <cellStyle name="Heading 2 8" xfId="616"/>
    <cellStyle name="Heading 2 9" xfId="617"/>
    <cellStyle name="Heading 3" xfId="618"/>
    <cellStyle name="Heading 3 2" xfId="619"/>
    <cellStyle name="Heading 3 2 2" xfId="620"/>
    <cellStyle name="Heading 3 3" xfId="621"/>
    <cellStyle name="Heading 3 3 2" xfId="622"/>
    <cellStyle name="Heading 3 4" xfId="623"/>
    <cellStyle name="Heading 3 4 2" xfId="624"/>
    <cellStyle name="Heading 3 4 3" xfId="625"/>
    <cellStyle name="Heading 3 4 3 2" xfId="626"/>
    <cellStyle name="Heading 3 5" xfId="627"/>
    <cellStyle name="Heading 3 5 2" xfId="628"/>
    <cellStyle name="Heading 3 6" xfId="629"/>
    <cellStyle name="Heading 3 7" xfId="630"/>
    <cellStyle name="Heading 3 7 2" xfId="631"/>
    <cellStyle name="Heading 3 8" xfId="632"/>
    <cellStyle name="Heading 3 9" xfId="633"/>
    <cellStyle name="Heading 4" xfId="634"/>
    <cellStyle name="Heading 4 2" xfId="635"/>
    <cellStyle name="Heading 4 2 2" xfId="636"/>
    <cellStyle name="Heading 4 3" xfId="637"/>
    <cellStyle name="Heading 4 3 2" xfId="638"/>
    <cellStyle name="Heading 4 4" xfId="639"/>
    <cellStyle name="Heading 4 4 2" xfId="640"/>
    <cellStyle name="Heading 4 4 3" xfId="641"/>
    <cellStyle name="Heading 4 4 3 2" xfId="642"/>
    <cellStyle name="Heading 4 5" xfId="643"/>
    <cellStyle name="Heading 4 5 2" xfId="644"/>
    <cellStyle name="Heading 4 6" xfId="645"/>
    <cellStyle name="Heading 4 7" xfId="646"/>
    <cellStyle name="Heading 4 7 2" xfId="647"/>
    <cellStyle name="Heading 4 8" xfId="648"/>
    <cellStyle name="Heading 4 9" xfId="649"/>
    <cellStyle name="Hyperlink 2" xfId="650"/>
    <cellStyle name="Input" xfId="651"/>
    <cellStyle name="Input 10" xfId="652"/>
    <cellStyle name="Input 2" xfId="653"/>
    <cellStyle name="Input 2 2" xfId="654"/>
    <cellStyle name="Input 2 2 2" xfId="655"/>
    <cellStyle name="Input 2 2 2 2" xfId="656"/>
    <cellStyle name="Input 2 2 2 3" xfId="657"/>
    <cellStyle name="Input 2 2 3" xfId="658"/>
    <cellStyle name="Input 2 3" xfId="659"/>
    <cellStyle name="Input 2 3 2" xfId="660"/>
    <cellStyle name="Input 2 3 3" xfId="661"/>
    <cellStyle name="Input 2 4" xfId="662"/>
    <cellStyle name="Input 3" xfId="663"/>
    <cellStyle name="Input 3 2" xfId="664"/>
    <cellStyle name="Input 3 2 2" xfId="665"/>
    <cellStyle name="Input 3 2 2 2" xfId="666"/>
    <cellStyle name="Input 3 2 2 3" xfId="667"/>
    <cellStyle name="Input 3 2 3" xfId="668"/>
    <cellStyle name="Input 3 2 4" xfId="669"/>
    <cellStyle name="Input 3 3" xfId="670"/>
    <cellStyle name="Input 3 3 2" xfId="671"/>
    <cellStyle name="Input 3 3 3" xfId="672"/>
    <cellStyle name="Input 3 4" xfId="673"/>
    <cellStyle name="Input 4" xfId="674"/>
    <cellStyle name="Input 4 2" xfId="675"/>
    <cellStyle name="Input 4 2 2" xfId="676"/>
    <cellStyle name="Input 4 2 2 2" xfId="677"/>
    <cellStyle name="Input 4 2 2 3" xfId="678"/>
    <cellStyle name="Input 4 2 3" xfId="679"/>
    <cellStyle name="Input 4 3" xfId="680"/>
    <cellStyle name="Input 4 3 2" xfId="681"/>
    <cellStyle name="Input 4 3 2 2" xfId="682"/>
    <cellStyle name="Input 4 3 2 2 2" xfId="683"/>
    <cellStyle name="Input 4 3 2 2 3" xfId="684"/>
    <cellStyle name="Input 4 3 2 3" xfId="685"/>
    <cellStyle name="Input 4 3 3" xfId="686"/>
    <cellStyle name="Input 4 3 3 2" xfId="687"/>
    <cellStyle name="Input 4 3 3 3" xfId="688"/>
    <cellStyle name="Input 4 3 4" xfId="689"/>
    <cellStyle name="Input 4 4" xfId="690"/>
    <cellStyle name="Input 4 4 2" xfId="691"/>
    <cellStyle name="Input 4 4 3" xfId="692"/>
    <cellStyle name="Input 4 5" xfId="693"/>
    <cellStyle name="Input 5" xfId="694"/>
    <cellStyle name="Input 5 2" xfId="695"/>
    <cellStyle name="Input 5 2 2" xfId="696"/>
    <cellStyle name="Input 5 2 2 2" xfId="697"/>
    <cellStyle name="Input 5 2 2 3" xfId="698"/>
    <cellStyle name="Input 5 2 3" xfId="699"/>
    <cellStyle name="Input 5 3" xfId="700"/>
    <cellStyle name="Input 5 3 2" xfId="701"/>
    <cellStyle name="Input 5 3 3" xfId="702"/>
    <cellStyle name="Input 5 4" xfId="703"/>
    <cellStyle name="Input 6" xfId="704"/>
    <cellStyle name="Input 6 2" xfId="705"/>
    <cellStyle name="Input 6 2 2" xfId="706"/>
    <cellStyle name="Input 6 2 3" xfId="707"/>
    <cellStyle name="Input 6 3" xfId="708"/>
    <cellStyle name="Input 7" xfId="709"/>
    <cellStyle name="Input 7 2" xfId="710"/>
    <cellStyle name="Input 7 2 2" xfId="711"/>
    <cellStyle name="Input 7 2 2 2" xfId="712"/>
    <cellStyle name="Input 7 2 2 3" xfId="713"/>
    <cellStyle name="Input 7 2 3" xfId="714"/>
    <cellStyle name="Input 7 3" xfId="715"/>
    <cellStyle name="Input 7 3 2" xfId="716"/>
    <cellStyle name="Input 7 3 3" xfId="717"/>
    <cellStyle name="Input 7 4" xfId="718"/>
    <cellStyle name="Input 8" xfId="719"/>
    <cellStyle name="Input 8 2" xfId="720"/>
    <cellStyle name="Input 8 2 2" xfId="721"/>
    <cellStyle name="Input 8 2 3" xfId="722"/>
    <cellStyle name="Input 8 3" xfId="723"/>
    <cellStyle name="Input 8 4" xfId="724"/>
    <cellStyle name="Input 9" xfId="725"/>
    <cellStyle name="Input 9 2" xfId="726"/>
    <cellStyle name="Input 9 2 2" xfId="727"/>
    <cellStyle name="Input 9 3" xfId="728"/>
    <cellStyle name="Input 9 4" xfId="729"/>
    <cellStyle name="Linked Cell" xfId="730"/>
    <cellStyle name="Linked Cell 2" xfId="731"/>
    <cellStyle name="Linked Cell 2 2" xfId="732"/>
    <cellStyle name="Linked Cell 3" xfId="733"/>
    <cellStyle name="Linked Cell 3 2" xfId="734"/>
    <cellStyle name="Linked Cell 4" xfId="735"/>
    <cellStyle name="Linked Cell 4 2" xfId="736"/>
    <cellStyle name="Linked Cell 4 3" xfId="737"/>
    <cellStyle name="Linked Cell 4 3 2" xfId="738"/>
    <cellStyle name="Linked Cell 5" xfId="739"/>
    <cellStyle name="Linked Cell 5 2" xfId="740"/>
    <cellStyle name="Linked Cell 6" xfId="741"/>
    <cellStyle name="Linked Cell 7" xfId="742"/>
    <cellStyle name="Linked Cell 7 2" xfId="743"/>
    <cellStyle name="Linked Cell 8" xfId="744"/>
    <cellStyle name="Linked Cell 9" xfId="745"/>
    <cellStyle name="Neutral 13" xfId="746"/>
    <cellStyle name="Neutral 2" xfId="747"/>
    <cellStyle name="Neutral 2 2" xfId="748"/>
    <cellStyle name="Neutral 3" xfId="749"/>
    <cellStyle name="Neutral 3 2" xfId="750"/>
    <cellStyle name="Neutral 4" xfId="751"/>
    <cellStyle name="Neutral 4 2" xfId="752"/>
    <cellStyle name="Neutral 4 3" xfId="753"/>
    <cellStyle name="Neutral 4 3 2" xfId="754"/>
    <cellStyle name="Neutral 5" xfId="755"/>
    <cellStyle name="Neutral 5 2" xfId="756"/>
    <cellStyle name="Neutral 6" xfId="757"/>
    <cellStyle name="Neutral 7" xfId="758"/>
    <cellStyle name="Neutral 7 2" xfId="759"/>
    <cellStyle name="Neutral 8" xfId="760"/>
    <cellStyle name="Neutral 9" xfId="761"/>
    <cellStyle name="Normal 2" xfId="762"/>
    <cellStyle name="Normal 2 2" xfId="763"/>
    <cellStyle name="Normal 3" xfId="764"/>
    <cellStyle name="Normal 4" xfId="765"/>
    <cellStyle name="Normal 5" xfId="766"/>
    <cellStyle name="Normal 5 2" xfId="767"/>
    <cellStyle name="Normal_&quot;CANCEL&quot; Volume Detail " xfId="768"/>
    <cellStyle name="Note 10" xfId="769"/>
    <cellStyle name="Note 14" xfId="770"/>
    <cellStyle name="Note 2" xfId="771"/>
    <cellStyle name="Note 2 2" xfId="772"/>
    <cellStyle name="Note 2 2 2" xfId="773"/>
    <cellStyle name="Note 2 2 2 2" xfId="774"/>
    <cellStyle name="Note 2 2 2 3" xfId="775"/>
    <cellStyle name="Note 2 2 3" xfId="776"/>
    <cellStyle name="Note 2 3" xfId="777"/>
    <cellStyle name="Note 2 3 2" xfId="778"/>
    <cellStyle name="Note 2 3 3" xfId="779"/>
    <cellStyle name="Note 2 4" xfId="780"/>
    <cellStyle name="Note 3" xfId="781"/>
    <cellStyle name="Note 3 2" xfId="782"/>
    <cellStyle name="Note 3 2 2" xfId="783"/>
    <cellStyle name="Note 3 2 2 2" xfId="784"/>
    <cellStyle name="Note 3 2 2 3" xfId="785"/>
    <cellStyle name="Note 3 2 3" xfId="786"/>
    <cellStyle name="Note 3 2 4" xfId="787"/>
    <cellStyle name="Note 3 3" xfId="788"/>
    <cellStyle name="Note 3 3 2" xfId="789"/>
    <cellStyle name="Note 3 3 3" xfId="790"/>
    <cellStyle name="Note 3 4" xfId="791"/>
    <cellStyle name="Note 4" xfId="792"/>
    <cellStyle name="Note 4 2" xfId="793"/>
    <cellStyle name="Note 4 2 2" xfId="794"/>
    <cellStyle name="Note 4 2 2 2" xfId="795"/>
    <cellStyle name="Note 4 2 2 3" xfId="796"/>
    <cellStyle name="Note 4 2 3" xfId="797"/>
    <cellStyle name="Note 4 3" xfId="798"/>
    <cellStyle name="Note 4 3 2" xfId="799"/>
    <cellStyle name="Note 4 3 2 2" xfId="800"/>
    <cellStyle name="Note 4 3 2 2 2" xfId="801"/>
    <cellStyle name="Note 4 3 2 2 3" xfId="802"/>
    <cellStyle name="Note 4 3 2 3" xfId="803"/>
    <cellStyle name="Note 4 3 3" xfId="804"/>
    <cellStyle name="Note 4 3 3 2" xfId="805"/>
    <cellStyle name="Note 4 3 3 3" xfId="806"/>
    <cellStyle name="Note 4 3 4" xfId="807"/>
    <cellStyle name="Note 4 4" xfId="808"/>
    <cellStyle name="Note 4 4 2" xfId="809"/>
    <cellStyle name="Note 4 4 3" xfId="810"/>
    <cellStyle name="Note 4 5" xfId="811"/>
    <cellStyle name="Note 5" xfId="812"/>
    <cellStyle name="Note 5 2" xfId="813"/>
    <cellStyle name="Note 5 2 2" xfId="814"/>
    <cellStyle name="Note 5 2 2 2" xfId="815"/>
    <cellStyle name="Note 5 2 2 3" xfId="816"/>
    <cellStyle name="Note 5 2 3" xfId="817"/>
    <cellStyle name="Note 5 3" xfId="818"/>
    <cellStyle name="Note 5 3 2" xfId="819"/>
    <cellStyle name="Note 5 3 3" xfId="820"/>
    <cellStyle name="Note 5 4" xfId="821"/>
    <cellStyle name="Note 6" xfId="822"/>
    <cellStyle name="Note 6 2" xfId="823"/>
    <cellStyle name="Note 6 2 2" xfId="824"/>
    <cellStyle name="Note 6 2 3" xfId="825"/>
    <cellStyle name="Note 6 3" xfId="826"/>
    <cellStyle name="Note 7" xfId="827"/>
    <cellStyle name="Note 7 2" xfId="828"/>
    <cellStyle name="Note 7 2 2" xfId="829"/>
    <cellStyle name="Note 7 2 2 2" xfId="830"/>
    <cellStyle name="Note 7 2 2 3" xfId="831"/>
    <cellStyle name="Note 7 2 3" xfId="832"/>
    <cellStyle name="Note 7 3" xfId="833"/>
    <cellStyle name="Note 7 3 2" xfId="834"/>
    <cellStyle name="Note 7 3 3" xfId="835"/>
    <cellStyle name="Note 7 4" xfId="836"/>
    <cellStyle name="Note 8" xfId="837"/>
    <cellStyle name="Note 8 2" xfId="838"/>
    <cellStyle name="Note 8 2 2" xfId="839"/>
    <cellStyle name="Note 8 2 3" xfId="840"/>
    <cellStyle name="Note 8 3" xfId="841"/>
    <cellStyle name="Note 8 4" xfId="842"/>
    <cellStyle name="Note 9" xfId="843"/>
    <cellStyle name="Note 9 2" xfId="844"/>
    <cellStyle name="Note 9 2 2" xfId="845"/>
    <cellStyle name="Note 9 3" xfId="846"/>
    <cellStyle name="Note 9 4" xfId="847"/>
    <cellStyle name="Output" xfId="848"/>
    <cellStyle name="Output 10" xfId="849"/>
    <cellStyle name="Output 2" xfId="850"/>
    <cellStyle name="Output 2 2" xfId="851"/>
    <cellStyle name="Output 2 2 2" xfId="852"/>
    <cellStyle name="Output 2 2 2 2" xfId="853"/>
    <cellStyle name="Output 2 2 2 3" xfId="854"/>
    <cellStyle name="Output 2 2 3" xfId="855"/>
    <cellStyle name="Output 2 3" xfId="856"/>
    <cellStyle name="Output 2 3 2" xfId="857"/>
    <cellStyle name="Output 2 3 3" xfId="858"/>
    <cellStyle name="Output 2 4" xfId="859"/>
    <cellStyle name="Output 3" xfId="860"/>
    <cellStyle name="Output 3 2" xfId="861"/>
    <cellStyle name="Output 3 2 2" xfId="862"/>
    <cellStyle name="Output 3 2 2 2" xfId="863"/>
    <cellStyle name="Output 3 2 2 3" xfId="864"/>
    <cellStyle name="Output 3 2 3" xfId="865"/>
    <cellStyle name="Output 3 2 4" xfId="866"/>
    <cellStyle name="Output 3 3" xfId="867"/>
    <cellStyle name="Output 3 3 2" xfId="868"/>
    <cellStyle name="Output 3 3 3" xfId="869"/>
    <cellStyle name="Output 3 4" xfId="870"/>
    <cellStyle name="Output 4" xfId="871"/>
    <cellStyle name="Output 4 2" xfId="872"/>
    <cellStyle name="Output 4 2 2" xfId="873"/>
    <cellStyle name="Output 4 2 2 2" xfId="874"/>
    <cellStyle name="Output 4 2 2 3" xfId="875"/>
    <cellStyle name="Output 4 2 3" xfId="876"/>
    <cellStyle name="Output 4 3" xfId="877"/>
    <cellStyle name="Output 4 3 2" xfId="878"/>
    <cellStyle name="Output 4 3 2 2" xfId="879"/>
    <cellStyle name="Output 4 3 2 2 2" xfId="880"/>
    <cellStyle name="Output 4 3 2 2 3" xfId="881"/>
    <cellStyle name="Output 4 3 2 3" xfId="882"/>
    <cellStyle name="Output 4 3 3" xfId="883"/>
    <cellStyle name="Output 4 3 3 2" xfId="884"/>
    <cellStyle name="Output 4 3 3 3" xfId="885"/>
    <cellStyle name="Output 4 3 4" xfId="886"/>
    <cellStyle name="Output 4 4" xfId="887"/>
    <cellStyle name="Output 4 4 2" xfId="888"/>
    <cellStyle name="Output 4 4 3" xfId="889"/>
    <cellStyle name="Output 4 5" xfId="890"/>
    <cellStyle name="Output 5" xfId="891"/>
    <cellStyle name="Output 5 2" xfId="892"/>
    <cellStyle name="Output 5 2 2" xfId="893"/>
    <cellStyle name="Output 5 2 2 2" xfId="894"/>
    <cellStyle name="Output 5 2 2 3" xfId="895"/>
    <cellStyle name="Output 5 2 3" xfId="896"/>
    <cellStyle name="Output 5 3" xfId="897"/>
    <cellStyle name="Output 5 3 2" xfId="898"/>
    <cellStyle name="Output 5 3 3" xfId="899"/>
    <cellStyle name="Output 5 4" xfId="900"/>
    <cellStyle name="Output 6" xfId="901"/>
    <cellStyle name="Output 6 2" xfId="902"/>
    <cellStyle name="Output 6 2 2" xfId="903"/>
    <cellStyle name="Output 6 2 3" xfId="904"/>
    <cellStyle name="Output 6 3" xfId="905"/>
    <cellStyle name="Output 7" xfId="906"/>
    <cellStyle name="Output 7 2" xfId="907"/>
    <cellStyle name="Output 7 2 2" xfId="908"/>
    <cellStyle name="Output 7 2 2 2" xfId="909"/>
    <cellStyle name="Output 7 2 2 3" xfId="910"/>
    <cellStyle name="Output 7 2 3" xfId="911"/>
    <cellStyle name="Output 7 3" xfId="912"/>
    <cellStyle name="Output 7 3 2" xfId="913"/>
    <cellStyle name="Output 7 3 3" xfId="914"/>
    <cellStyle name="Output 7 4" xfId="915"/>
    <cellStyle name="Output 8" xfId="916"/>
    <cellStyle name="Output 8 2" xfId="917"/>
    <cellStyle name="Output 8 2 2" xfId="918"/>
    <cellStyle name="Output 8 2 3" xfId="919"/>
    <cellStyle name="Output 8 3" xfId="920"/>
    <cellStyle name="Output 8 4" xfId="921"/>
    <cellStyle name="Output 9" xfId="922"/>
    <cellStyle name="Output 9 2" xfId="923"/>
    <cellStyle name="Output 9 3" xfId="924"/>
    <cellStyle name="Output 9 4" xfId="925"/>
    <cellStyle name="Title" xfId="926"/>
    <cellStyle name="Title 2" xfId="927"/>
    <cellStyle name="Title 2 2" xfId="928"/>
    <cellStyle name="Title 3" xfId="929"/>
    <cellStyle name="Title 3 2" xfId="930"/>
    <cellStyle name="Title 4" xfId="931"/>
    <cellStyle name="Title 4 2" xfId="932"/>
    <cellStyle name="Title 4 3" xfId="933"/>
    <cellStyle name="Title 4 3 2" xfId="934"/>
    <cellStyle name="Title 5" xfId="935"/>
    <cellStyle name="Title 5 2" xfId="936"/>
    <cellStyle name="Title 6" xfId="937"/>
    <cellStyle name="Title 7" xfId="938"/>
    <cellStyle name="Title 7 2" xfId="939"/>
    <cellStyle name="Title 8" xfId="940"/>
    <cellStyle name="Title 9" xfId="941"/>
    <cellStyle name="Total" xfId="942"/>
    <cellStyle name="Total 10" xfId="943"/>
    <cellStyle name="Total 2" xfId="944"/>
    <cellStyle name="Total 2 2" xfId="945"/>
    <cellStyle name="Total 2 2 2" xfId="946"/>
    <cellStyle name="Total 2 2 2 2" xfId="947"/>
    <cellStyle name="Total 2 2 2 3" xfId="948"/>
    <cellStyle name="Total 2 2 3" xfId="949"/>
    <cellStyle name="Total 2 3" xfId="950"/>
    <cellStyle name="Total 2 3 2" xfId="951"/>
    <cellStyle name="Total 2 3 3" xfId="952"/>
    <cellStyle name="Total 2 4" xfId="953"/>
    <cellStyle name="Total 3" xfId="954"/>
    <cellStyle name="Total 3 2" xfId="955"/>
    <cellStyle name="Total 3 2 2" xfId="956"/>
    <cellStyle name="Total 3 2 2 2" xfId="957"/>
    <cellStyle name="Total 3 2 2 3" xfId="958"/>
    <cellStyle name="Total 3 2 3" xfId="959"/>
    <cellStyle name="Total 3 2 4" xfId="960"/>
    <cellStyle name="Total 3 3" xfId="961"/>
    <cellStyle name="Total 3 3 2" xfId="962"/>
    <cellStyle name="Total 3 3 3" xfId="963"/>
    <cellStyle name="Total 3 4" xfId="964"/>
    <cellStyle name="Total 4" xfId="965"/>
    <cellStyle name="Total 4 2" xfId="966"/>
    <cellStyle name="Total 4 2 2" xfId="967"/>
    <cellStyle name="Total 4 2 2 2" xfId="968"/>
    <cellStyle name="Total 4 2 2 3" xfId="969"/>
    <cellStyle name="Total 4 2 3" xfId="970"/>
    <cellStyle name="Total 4 3" xfId="971"/>
    <cellStyle name="Total 4 3 2" xfId="972"/>
    <cellStyle name="Total 4 3 2 2" xfId="973"/>
    <cellStyle name="Total 4 3 2 2 2" xfId="974"/>
    <cellStyle name="Total 4 3 2 2 3" xfId="975"/>
    <cellStyle name="Total 4 3 2 3" xfId="976"/>
    <cellStyle name="Total 4 3 3" xfId="977"/>
    <cellStyle name="Total 4 3 3 2" xfId="978"/>
    <cellStyle name="Total 4 3 3 3" xfId="979"/>
    <cellStyle name="Total 4 3 4" xfId="980"/>
    <cellStyle name="Total 4 4" xfId="981"/>
    <cellStyle name="Total 4 4 2" xfId="982"/>
    <cellStyle name="Total 4 4 3" xfId="983"/>
    <cellStyle name="Total 4 5" xfId="984"/>
    <cellStyle name="Total 5" xfId="985"/>
    <cellStyle name="Total 5 2" xfId="986"/>
    <cellStyle name="Total 5 2 2" xfId="987"/>
    <cellStyle name="Total 5 2 2 2" xfId="988"/>
    <cellStyle name="Total 5 2 2 3" xfId="989"/>
    <cellStyle name="Total 5 2 3" xfId="990"/>
    <cellStyle name="Total 5 3" xfId="991"/>
    <cellStyle name="Total 5 3 2" xfId="992"/>
    <cellStyle name="Total 5 3 3" xfId="993"/>
    <cellStyle name="Total 5 4" xfId="994"/>
    <cellStyle name="Total 6" xfId="995"/>
    <cellStyle name="Total 6 2" xfId="996"/>
    <cellStyle name="Total 6 2 2" xfId="997"/>
    <cellStyle name="Total 6 2 3" xfId="998"/>
    <cellStyle name="Total 6 3" xfId="999"/>
    <cellStyle name="Total 7" xfId="1000"/>
    <cellStyle name="Total 7 2" xfId="1001"/>
    <cellStyle name="Total 7 2 2" xfId="1002"/>
    <cellStyle name="Total 7 2 2 2" xfId="1003"/>
    <cellStyle name="Total 7 2 2 3" xfId="1004"/>
    <cellStyle name="Total 7 2 3" xfId="1005"/>
    <cellStyle name="Total 7 3" xfId="1006"/>
    <cellStyle name="Total 7 3 2" xfId="1007"/>
    <cellStyle name="Total 7 3 3" xfId="1008"/>
    <cellStyle name="Total 7 4" xfId="1009"/>
    <cellStyle name="Total 8" xfId="1010"/>
    <cellStyle name="Total 8 2" xfId="1011"/>
    <cellStyle name="Total 8 2 2" xfId="1012"/>
    <cellStyle name="Total 8 2 3" xfId="1013"/>
    <cellStyle name="Total 8 3" xfId="1014"/>
    <cellStyle name="Total 8 4" xfId="1015"/>
    <cellStyle name="Total 9" xfId="1016"/>
    <cellStyle name="Total 9 2" xfId="1017"/>
    <cellStyle name="Total 9 3" xfId="1018"/>
    <cellStyle name="Total 9 4" xfId="1019"/>
    <cellStyle name="Warning Text" xfId="1020"/>
    <cellStyle name="Warning Text 2" xfId="1021"/>
    <cellStyle name="Warning Text 2 2" xfId="1022"/>
    <cellStyle name="Warning Text 3" xfId="1023"/>
    <cellStyle name="Warning Text 3 2" xfId="1024"/>
    <cellStyle name="Warning Text 4" xfId="1025"/>
    <cellStyle name="Warning Text 4 2" xfId="1026"/>
    <cellStyle name="Warning Text 4 3" xfId="1027"/>
    <cellStyle name="Warning Text 4 3 2" xfId="1028"/>
    <cellStyle name="Warning Text 5" xfId="1029"/>
    <cellStyle name="Warning Text 5 2" xfId="1030"/>
    <cellStyle name="Warning Text 6" xfId="1031"/>
    <cellStyle name="Warning Text 7" xfId="1032"/>
    <cellStyle name="Warning Text 7 2" xfId="1033"/>
    <cellStyle name="Warning Text 8" xfId="1034"/>
    <cellStyle name="Warning Text 9" xfId="1035"/>
    <cellStyle name="標準_Akia(F）-8" xfId="1036"/>
    <cellStyle name="백분율 17" xfId="1037"/>
    <cellStyle name="백분율 17 2" xfId="1038"/>
    <cellStyle name="백분율 17 3" xfId="1039"/>
    <cellStyle name="백분율 17 4" xfId="1040"/>
    <cellStyle name="백분율 2" xfId="1041"/>
    <cellStyle name="백분율 2 10" xfId="1042"/>
    <cellStyle name="백분율 2 2" xfId="1043"/>
    <cellStyle name="백분율 2 2 2" xfId="1044"/>
    <cellStyle name="백분율 2 3" xfId="1045"/>
    <cellStyle name="백분율 2 3 2" xfId="1046"/>
    <cellStyle name="백분율 2 3 3" xfId="1047"/>
    <cellStyle name="백분율 2 4" xfId="1048"/>
    <cellStyle name="백분율 2 4 2" xfId="1049"/>
    <cellStyle name="백분율 2 4 3" xfId="1050"/>
    <cellStyle name="백분율 2 4 4" xfId="1051"/>
    <cellStyle name="백분율 2 4 5" xfId="1052"/>
    <cellStyle name="백분율 2 5" xfId="1053"/>
    <cellStyle name="백분율 3" xfId="1054"/>
    <cellStyle name="백분율 3 2" xfId="1055"/>
    <cellStyle name="백분율 3 3" xfId="1056"/>
    <cellStyle name="백분율 3 4" xfId="1057"/>
    <cellStyle name="백분율 4" xfId="1058"/>
    <cellStyle name="백분율 4 2" xfId="1059"/>
    <cellStyle name="백분율 4 3" xfId="1060"/>
    <cellStyle name="백분율 4 4" xfId="1061"/>
    <cellStyle name="백분율 5" xfId="1062"/>
    <cellStyle name="백분율 5 2" xfId="1063"/>
    <cellStyle name="백분율 5 3" xfId="1064"/>
    <cellStyle name="백분율 5 4" xfId="1065"/>
    <cellStyle name="백분율 6" xfId="1066"/>
    <cellStyle name="백분율 6 2" xfId="1067"/>
    <cellStyle name="백분율 6 3" xfId="1068"/>
    <cellStyle name="백분율 6 4" xfId="1069"/>
    <cellStyle name="백분율 7" xfId="1070"/>
    <cellStyle name="백분율 8" xfId="1071"/>
    <cellStyle name="새귑[0]_롤痰삠悧 " xfId="1072"/>
    <cellStyle name="새귑_롤痰삠悧 " xfId="1073"/>
    <cellStyle name="쉼표 10" xfId="1074"/>
    <cellStyle name="쉼표 10 2" xfId="1075"/>
    <cellStyle name="쉼표 10 2 2" xfId="1076"/>
    <cellStyle name="쉼표 10 2 2 2" xfId="1077"/>
    <cellStyle name="쉼표 10 2 3" xfId="1078"/>
    <cellStyle name="쉼표 10 2 3 2" xfId="1079"/>
    <cellStyle name="쉼표 10 2 4" xfId="1080"/>
    <cellStyle name="쉼표 10 2 4 2" xfId="1081"/>
    <cellStyle name="쉼표 10 2 5" xfId="1082"/>
    <cellStyle name="쉼표 10 3" xfId="1083"/>
    <cellStyle name="쉼표 10 3 2" xfId="1084"/>
    <cellStyle name="쉼표 10 4" xfId="1085"/>
    <cellStyle name="쉼표 11" xfId="1086"/>
    <cellStyle name="쉼표 11 2" xfId="1087"/>
    <cellStyle name="쉼표 11 2 2" xfId="1088"/>
    <cellStyle name="쉼표 11 2 2 2" xfId="1089"/>
    <cellStyle name="쉼표 11 2 3" xfId="1090"/>
    <cellStyle name="쉼표 11 2 3 2" xfId="1091"/>
    <cellStyle name="쉼표 11 2 4" xfId="1092"/>
    <cellStyle name="쉼표 11 2 4 2" xfId="1093"/>
    <cellStyle name="쉼표 11 2 5" xfId="1094"/>
    <cellStyle name="쉼표 11 3" xfId="1095"/>
    <cellStyle name="쉼표 11 3 2" xfId="1096"/>
    <cellStyle name="쉼표 11 4" xfId="1097"/>
    <cellStyle name="쉼표 12" xfId="1098"/>
    <cellStyle name="쉼표 12 2" xfId="1099"/>
    <cellStyle name="쉼표 12 2 2" xfId="1100"/>
    <cellStyle name="쉼표 12 2 2 2" xfId="1101"/>
    <cellStyle name="쉼표 12 2 3" xfId="1102"/>
    <cellStyle name="쉼표 12 2 3 2" xfId="1103"/>
    <cellStyle name="쉼표 12 2 4" xfId="1104"/>
    <cellStyle name="쉼표 12 2 4 2" xfId="1105"/>
    <cellStyle name="쉼표 12 2 5" xfId="1106"/>
    <cellStyle name="쉼표 12 3" xfId="1107"/>
    <cellStyle name="쉼표 12 3 2" xfId="1108"/>
    <cellStyle name="쉼표 12 4" xfId="1109"/>
    <cellStyle name="쉼표 13" xfId="1110"/>
    <cellStyle name="쉼표 13 2" xfId="1111"/>
    <cellStyle name="쉼표 13 2 2" xfId="1112"/>
    <cellStyle name="쉼표 13 2 2 2" xfId="1113"/>
    <cellStyle name="쉼표 13 2 3" xfId="1114"/>
    <cellStyle name="쉼표 13 2 3 2" xfId="1115"/>
    <cellStyle name="쉼표 13 2 4" xfId="1116"/>
    <cellStyle name="쉼표 13 2 4 2" xfId="1117"/>
    <cellStyle name="쉼표 13 2 5" xfId="1118"/>
    <cellStyle name="쉼표 13 3" xfId="1119"/>
    <cellStyle name="쉼표 13 3 2" xfId="1120"/>
    <cellStyle name="쉼표 13 4" xfId="1121"/>
    <cellStyle name="쉼표 14" xfId="1122"/>
    <cellStyle name="쉼표 14 2" xfId="1123"/>
    <cellStyle name="쉼표 14 2 2" xfId="1124"/>
    <cellStyle name="쉼표 14 2 2 2" xfId="1125"/>
    <cellStyle name="쉼표 14 2 3" xfId="1126"/>
    <cellStyle name="쉼표 14 2 3 2" xfId="1127"/>
    <cellStyle name="쉼표 14 2 4" xfId="1128"/>
    <cellStyle name="쉼표 14 2 4 2" xfId="1129"/>
    <cellStyle name="쉼표 14 2 5" xfId="1130"/>
    <cellStyle name="쉼표 14 3" xfId="1131"/>
    <cellStyle name="쉼표 14 3 2" xfId="1132"/>
    <cellStyle name="쉼표 14 4" xfId="1133"/>
    <cellStyle name="쉼표 15" xfId="1134"/>
    <cellStyle name="쉼표 15 2" xfId="1135"/>
    <cellStyle name="쉼표 15 2 2" xfId="1136"/>
    <cellStyle name="쉼표 15 2 2 2" xfId="1137"/>
    <cellStyle name="쉼표 15 2 3" xfId="1138"/>
    <cellStyle name="쉼표 15 2 3 2" xfId="1139"/>
    <cellStyle name="쉼표 15 2 4" xfId="1140"/>
    <cellStyle name="쉼표 15 2 4 2" xfId="1141"/>
    <cellStyle name="쉼표 15 2 5" xfId="1142"/>
    <cellStyle name="쉼표 15 3" xfId="1143"/>
    <cellStyle name="쉼표 15 3 2" xfId="1144"/>
    <cellStyle name="쉼표 15 4" xfId="1145"/>
    <cellStyle name="쉼표 16" xfId="1146"/>
    <cellStyle name="쉼표 16 2" xfId="1147"/>
    <cellStyle name="쉼표 16 2 2" xfId="1148"/>
    <cellStyle name="쉼표 16 2 2 2" xfId="1149"/>
    <cellStyle name="쉼표 16 2 3" xfId="1150"/>
    <cellStyle name="쉼표 16 2 3 2" xfId="1151"/>
    <cellStyle name="쉼표 16 2 4" xfId="1152"/>
    <cellStyle name="쉼표 16 2 4 2" xfId="1153"/>
    <cellStyle name="쉼표 16 2 5" xfId="1154"/>
    <cellStyle name="쉼표 16 3" xfId="1155"/>
    <cellStyle name="쉼표 16 3 2" xfId="1156"/>
    <cellStyle name="쉼표 16 4" xfId="1157"/>
    <cellStyle name="쉼표 17" xfId="1158"/>
    <cellStyle name="쉼표 17 2" xfId="1159"/>
    <cellStyle name="쉼표 17 2 2" xfId="1160"/>
    <cellStyle name="쉼표 17 2 2 2" xfId="1161"/>
    <cellStyle name="쉼표 17 2 3" xfId="1162"/>
    <cellStyle name="쉼표 17 2 3 2" xfId="1163"/>
    <cellStyle name="쉼표 17 2 4" xfId="1164"/>
    <cellStyle name="쉼표 17 2 4 2" xfId="1165"/>
    <cellStyle name="쉼표 17 2 5" xfId="1166"/>
    <cellStyle name="쉼표 17 3" xfId="1167"/>
    <cellStyle name="쉼표 17 3 2" xfId="1168"/>
    <cellStyle name="쉼표 17 4" xfId="1169"/>
    <cellStyle name="쉼표 18" xfId="1170"/>
    <cellStyle name="쉼표 18 2" xfId="1171"/>
    <cellStyle name="쉼표 18 2 2" xfId="1172"/>
    <cellStyle name="쉼표 18 2 2 2" xfId="1173"/>
    <cellStyle name="쉼표 18 2 3" xfId="1174"/>
    <cellStyle name="쉼표 18 2 3 2" xfId="1175"/>
    <cellStyle name="쉼표 18 2 4" xfId="1176"/>
    <cellStyle name="쉼표 18 2 4 2" xfId="1177"/>
    <cellStyle name="쉼표 18 2 5" xfId="1178"/>
    <cellStyle name="쉼표 18 3" xfId="1179"/>
    <cellStyle name="쉼표 18 3 2" xfId="1180"/>
    <cellStyle name="쉼표 18 4" xfId="1181"/>
    <cellStyle name="쉼표 19" xfId="1182"/>
    <cellStyle name="쉼표 19 2" xfId="1183"/>
    <cellStyle name="쉼표 19 2 2" xfId="1184"/>
    <cellStyle name="쉼표 19 2 2 2" xfId="1185"/>
    <cellStyle name="쉼표 19 2 3" xfId="1186"/>
    <cellStyle name="쉼표 19 2 3 2" xfId="1187"/>
    <cellStyle name="쉼표 19 2 4" xfId="1188"/>
    <cellStyle name="쉼표 19 2 4 2" xfId="1189"/>
    <cellStyle name="쉼표 19 2 5" xfId="1190"/>
    <cellStyle name="쉼표 19 3" xfId="1191"/>
    <cellStyle name="쉼표 19 3 2" xfId="1192"/>
    <cellStyle name="쉼표 19 4" xfId="1193"/>
    <cellStyle name="쉼표 2" xfId="1194"/>
    <cellStyle name="쉼표 2 2" xfId="1195"/>
    <cellStyle name="쉼표 2 2 2" xfId="1196"/>
    <cellStyle name="쉼표 2 2 2 2" xfId="1197"/>
    <cellStyle name="쉼표 2 2 3" xfId="1198"/>
    <cellStyle name="쉼표 2 2 3 2" xfId="1199"/>
    <cellStyle name="쉼표 2 2 4" xfId="1200"/>
    <cellStyle name="쉼표 2 2 4 2" xfId="1201"/>
    <cellStyle name="쉼표 2 2 5" xfId="1202"/>
    <cellStyle name="쉼표 2 3" xfId="1203"/>
    <cellStyle name="쉼표 2 3 2" xfId="1204"/>
    <cellStyle name="쉼표 2 4" xfId="1205"/>
    <cellStyle name="쉼표 20" xfId="1206"/>
    <cellStyle name="쉼표 20 2" xfId="1207"/>
    <cellStyle name="쉼표 20 2 2" xfId="1208"/>
    <cellStyle name="쉼표 20 2 2 2" xfId="1209"/>
    <cellStyle name="쉼표 20 2 3" xfId="1210"/>
    <cellStyle name="쉼표 20 2 3 2" xfId="1211"/>
    <cellStyle name="쉼표 20 2 4" xfId="1212"/>
    <cellStyle name="쉼표 20 2 4 2" xfId="1213"/>
    <cellStyle name="쉼표 20 2 5" xfId="1214"/>
    <cellStyle name="쉼표 20 3" xfId="1215"/>
    <cellStyle name="쉼표 20 3 2" xfId="1216"/>
    <cellStyle name="쉼표 20 4" xfId="1217"/>
    <cellStyle name="쉼표 21" xfId="1218"/>
    <cellStyle name="쉼표 21 2" xfId="1219"/>
    <cellStyle name="쉼표 21 2 2" xfId="1220"/>
    <cellStyle name="쉼표 21 2 2 2" xfId="1221"/>
    <cellStyle name="쉼표 21 2 3" xfId="1222"/>
    <cellStyle name="쉼표 21 2 3 2" xfId="1223"/>
    <cellStyle name="쉼표 21 2 4" xfId="1224"/>
    <cellStyle name="쉼표 21 2 4 2" xfId="1225"/>
    <cellStyle name="쉼표 21 2 5" xfId="1226"/>
    <cellStyle name="쉼표 21 3" xfId="1227"/>
    <cellStyle name="쉼표 21 3 2" xfId="1228"/>
    <cellStyle name="쉼표 21 4" xfId="1229"/>
    <cellStyle name="쉼표 22" xfId="1230"/>
    <cellStyle name="쉼표 22 2" xfId="1231"/>
    <cellStyle name="쉼표 22 2 2" xfId="1232"/>
    <cellStyle name="쉼표 22 2 2 2" xfId="1233"/>
    <cellStyle name="쉼표 22 2 3" xfId="1234"/>
    <cellStyle name="쉼표 22 2 3 2" xfId="1235"/>
    <cellStyle name="쉼표 22 2 4" xfId="1236"/>
    <cellStyle name="쉼표 22 2 4 2" xfId="1237"/>
    <cellStyle name="쉼표 22 2 5" xfId="1238"/>
    <cellStyle name="쉼표 22 3" xfId="1239"/>
    <cellStyle name="쉼표 22 3 2" xfId="1240"/>
    <cellStyle name="쉼표 22 4" xfId="1241"/>
    <cellStyle name="쉼표 23" xfId="1242"/>
    <cellStyle name="쉼표 23 2" xfId="1243"/>
    <cellStyle name="쉼표 23 2 2" xfId="1244"/>
    <cellStyle name="쉼표 23 2 2 2" xfId="1245"/>
    <cellStyle name="쉼표 23 2 3" xfId="1246"/>
    <cellStyle name="쉼표 23 2 3 2" xfId="1247"/>
    <cellStyle name="쉼표 23 2 4" xfId="1248"/>
    <cellStyle name="쉼표 23 2 4 2" xfId="1249"/>
    <cellStyle name="쉼표 23 2 5" xfId="1250"/>
    <cellStyle name="쉼표 23 3" xfId="1251"/>
    <cellStyle name="쉼표 23 3 2" xfId="1252"/>
    <cellStyle name="쉼표 23 4" xfId="1253"/>
    <cellStyle name="쉼표 24" xfId="1254"/>
    <cellStyle name="쉼표 24 2" xfId="1255"/>
    <cellStyle name="쉼표 24 2 2" xfId="1256"/>
    <cellStyle name="쉼표 24 2 2 2" xfId="1257"/>
    <cellStyle name="쉼표 24 2 3" xfId="1258"/>
    <cellStyle name="쉼표 24 2 3 2" xfId="1259"/>
    <cellStyle name="쉼표 24 2 4" xfId="1260"/>
    <cellStyle name="쉼표 24 2 4 2" xfId="1261"/>
    <cellStyle name="쉼표 24 2 5" xfId="1262"/>
    <cellStyle name="쉼표 24 3" xfId="1263"/>
    <cellStyle name="쉼표 24 3 2" xfId="1264"/>
    <cellStyle name="쉼표 24 4" xfId="1265"/>
    <cellStyle name="쉼표 25" xfId="1266"/>
    <cellStyle name="쉼표 25 2" xfId="1267"/>
    <cellStyle name="쉼표 25 2 2" xfId="1268"/>
    <cellStyle name="쉼표 25 2 2 2" xfId="1269"/>
    <cellStyle name="쉼표 25 2 3" xfId="1270"/>
    <cellStyle name="쉼표 25 2 3 2" xfId="1271"/>
    <cellStyle name="쉼표 25 2 4" xfId="1272"/>
    <cellStyle name="쉼표 25 2 4 2" xfId="1273"/>
    <cellStyle name="쉼표 25 2 5" xfId="1274"/>
    <cellStyle name="쉼표 25 3" xfId="1275"/>
    <cellStyle name="쉼표 25 3 2" xfId="1276"/>
    <cellStyle name="쉼표 25 4" xfId="1277"/>
    <cellStyle name="쉼표 26" xfId="1278"/>
    <cellStyle name="쉼표 26 2" xfId="1279"/>
    <cellStyle name="쉼표 26 2 2" xfId="1280"/>
    <cellStyle name="쉼표 26 2 2 2" xfId="1281"/>
    <cellStyle name="쉼표 26 2 3" xfId="1282"/>
    <cellStyle name="쉼표 26 2 3 2" xfId="1283"/>
    <cellStyle name="쉼표 26 2 4" xfId="1284"/>
    <cellStyle name="쉼표 26 2 4 2" xfId="1285"/>
    <cellStyle name="쉼표 26 2 5" xfId="1286"/>
    <cellStyle name="쉼표 26 3" xfId="1287"/>
    <cellStyle name="쉼표 26 3 2" xfId="1288"/>
    <cellStyle name="쉼표 26 4" xfId="1289"/>
    <cellStyle name="쉼표 27" xfId="1290"/>
    <cellStyle name="쉼표 27 2" xfId="1291"/>
    <cellStyle name="쉼표 27 2 2" xfId="1292"/>
    <cellStyle name="쉼표 27 2 2 2" xfId="1293"/>
    <cellStyle name="쉼표 27 2 3" xfId="1294"/>
    <cellStyle name="쉼표 27 2 3 2" xfId="1295"/>
    <cellStyle name="쉼표 27 2 4" xfId="1296"/>
    <cellStyle name="쉼표 27 2 4 2" xfId="1297"/>
    <cellStyle name="쉼표 27 2 5" xfId="1298"/>
    <cellStyle name="쉼표 27 3" xfId="1299"/>
    <cellStyle name="쉼표 27 3 2" xfId="1300"/>
    <cellStyle name="쉼표 27 4" xfId="1301"/>
    <cellStyle name="쉼표 28" xfId="1302"/>
    <cellStyle name="쉼표 28 2" xfId="1303"/>
    <cellStyle name="쉼표 28 2 2" xfId="1304"/>
    <cellStyle name="쉼표 28 2 2 2" xfId="1305"/>
    <cellStyle name="쉼표 28 2 3" xfId="1306"/>
    <cellStyle name="쉼표 28 2 3 2" xfId="1307"/>
    <cellStyle name="쉼표 28 2 4" xfId="1308"/>
    <cellStyle name="쉼표 28 2 4 2" xfId="1309"/>
    <cellStyle name="쉼표 28 2 5" xfId="1310"/>
    <cellStyle name="쉼표 28 3" xfId="1311"/>
    <cellStyle name="쉼표 28 3 2" xfId="1312"/>
    <cellStyle name="쉼표 28 4" xfId="1313"/>
    <cellStyle name="쉼표 3" xfId="1314"/>
    <cellStyle name="쉼표 3 2" xfId="1315"/>
    <cellStyle name="쉼표 3 2 2" xfId="1316"/>
    <cellStyle name="쉼표 3 2 2 2" xfId="1317"/>
    <cellStyle name="쉼표 3 2 3" xfId="1318"/>
    <cellStyle name="쉼표 3 2 3 2" xfId="1319"/>
    <cellStyle name="쉼표 3 2 4" xfId="1320"/>
    <cellStyle name="쉼표 3 2 4 2" xfId="1321"/>
    <cellStyle name="쉼표 3 2 5" xfId="1322"/>
    <cellStyle name="쉼표 3 3" xfId="1323"/>
    <cellStyle name="쉼표 3 3 2" xfId="1324"/>
    <cellStyle name="쉼표 3 4" xfId="1325"/>
    <cellStyle name="쉼표 4" xfId="1326"/>
    <cellStyle name="쉼표 4 2" xfId="1327"/>
    <cellStyle name="쉼표 4 2 2" xfId="1328"/>
    <cellStyle name="쉼표 4 2 2 2" xfId="1329"/>
    <cellStyle name="쉼표 4 2 3" xfId="1330"/>
    <cellStyle name="쉼표 4 2 3 2" xfId="1331"/>
    <cellStyle name="쉼표 4 2 4" xfId="1332"/>
    <cellStyle name="쉼표 4 2 4 2" xfId="1333"/>
    <cellStyle name="쉼표 4 2 5" xfId="1334"/>
    <cellStyle name="쉼표 4 3" xfId="1335"/>
    <cellStyle name="쉼표 4 3 2" xfId="1336"/>
    <cellStyle name="쉼표 4 4" xfId="1337"/>
    <cellStyle name="쉼표 5" xfId="1338"/>
    <cellStyle name="쉼표 5 2" xfId="1339"/>
    <cellStyle name="쉼표 5 2 2" xfId="1340"/>
    <cellStyle name="쉼표 5 2 2 2" xfId="1341"/>
    <cellStyle name="쉼표 5 2 3" xfId="1342"/>
    <cellStyle name="쉼표 5 2 3 2" xfId="1343"/>
    <cellStyle name="쉼표 5 2 4" xfId="1344"/>
    <cellStyle name="쉼표 5 2 4 2" xfId="1345"/>
    <cellStyle name="쉼표 5 2 5" xfId="1346"/>
    <cellStyle name="쉼표 5 3" xfId="1347"/>
    <cellStyle name="쉼표 5 3 2" xfId="1348"/>
    <cellStyle name="쉼표 5 4" xfId="1349"/>
    <cellStyle name="쉼표 6" xfId="1350"/>
    <cellStyle name="쉼표 6 2" xfId="1351"/>
    <cellStyle name="쉼표 6 2 2" xfId="1352"/>
    <cellStyle name="쉼표 6 2 2 2" xfId="1353"/>
    <cellStyle name="쉼표 6 2 3" xfId="1354"/>
    <cellStyle name="쉼표 6 2 3 2" xfId="1355"/>
    <cellStyle name="쉼표 6 2 4" xfId="1356"/>
    <cellStyle name="쉼표 6 2 4 2" xfId="1357"/>
    <cellStyle name="쉼표 6 2 5" xfId="1358"/>
    <cellStyle name="쉼표 6 3" xfId="1359"/>
    <cellStyle name="쉼표 6 3 2" xfId="1360"/>
    <cellStyle name="쉼표 6 4" xfId="1361"/>
    <cellStyle name="쉼표 7" xfId="1362"/>
    <cellStyle name="쉼표 7 2" xfId="1363"/>
    <cellStyle name="쉼표 7 2 2" xfId="1364"/>
    <cellStyle name="쉼표 7 2 2 2" xfId="1365"/>
    <cellStyle name="쉼표 7 2 3" xfId="1366"/>
    <cellStyle name="쉼표 7 2 3 2" xfId="1367"/>
    <cellStyle name="쉼표 7 2 4" xfId="1368"/>
    <cellStyle name="쉼표 7 2 4 2" xfId="1369"/>
    <cellStyle name="쉼표 7 2 5" xfId="1370"/>
    <cellStyle name="쉼표 7 3" xfId="1371"/>
    <cellStyle name="쉼표 7 3 2" xfId="1372"/>
    <cellStyle name="쉼표 7 4" xfId="1373"/>
    <cellStyle name="쉼표 8" xfId="1374"/>
    <cellStyle name="쉼표 8 2" xfId="1375"/>
    <cellStyle name="쉼표 8 2 2" xfId="1376"/>
    <cellStyle name="쉼표 8 2 2 2" xfId="1377"/>
    <cellStyle name="쉼표 8 2 3" xfId="1378"/>
    <cellStyle name="쉼표 8 2 3 2" xfId="1379"/>
    <cellStyle name="쉼표 8 2 4" xfId="1380"/>
    <cellStyle name="쉼표 8 2 4 2" xfId="1381"/>
    <cellStyle name="쉼표 8 2 5" xfId="1382"/>
    <cellStyle name="쉼표 8 3" xfId="1383"/>
    <cellStyle name="쉼표 8 3 2" xfId="1384"/>
    <cellStyle name="쉼표 8 4" xfId="1385"/>
    <cellStyle name="쉼표 9" xfId="1386"/>
    <cellStyle name="쉼표 9 2" xfId="1387"/>
    <cellStyle name="쉼표 9 2 2" xfId="1388"/>
    <cellStyle name="쉼표 9 2 2 2" xfId="1389"/>
    <cellStyle name="쉼표 9 2 3" xfId="1390"/>
    <cellStyle name="쉼표 9 2 3 2" xfId="1391"/>
    <cellStyle name="쉼표 9 2 4" xfId="1392"/>
    <cellStyle name="쉼표 9 2 4 2" xfId="1393"/>
    <cellStyle name="쉼표 9 2 5" xfId="1394"/>
    <cellStyle name="쉼표 9 3" xfId="1395"/>
    <cellStyle name="쉼표 9 3 2" xfId="1396"/>
    <cellStyle name="쉼표 9 4" xfId="1397"/>
    <cellStyle name="쉼표 [0] 10" xfId="1398"/>
    <cellStyle name="쉼표 [0] 10 2" xfId="1399"/>
    <cellStyle name="쉼표 [0] 10 2 2" xfId="1400"/>
    <cellStyle name="쉼표 [0] 10 2 2 2" xfId="1401"/>
    <cellStyle name="쉼표 [0] 10 2 2 2 2" xfId="1402"/>
    <cellStyle name="쉼표 [0] 10 2 2 3" xfId="1403"/>
    <cellStyle name="쉼표 [0] 10 2 3" xfId="1404"/>
    <cellStyle name="쉼표 [0] 10 2 3 2" xfId="1405"/>
    <cellStyle name="쉼표 [0] 10 2 4" xfId="1406"/>
    <cellStyle name="쉼표 [0] 10 2 4 2" xfId="1407"/>
    <cellStyle name="쉼표 [0] 10 2 5" xfId="1408"/>
    <cellStyle name="쉼표 [0] 10 2 5 2" xfId="1409"/>
    <cellStyle name="쉼표 [0] 10 2 6" xfId="1410"/>
    <cellStyle name="쉼표 [0] 10 3" xfId="1411"/>
    <cellStyle name="쉼표 [0] 10 3 2" xfId="1412"/>
    <cellStyle name="쉼표 [0] 10 3 2 2" xfId="1413"/>
    <cellStyle name="쉼표 [0] 10 3 3" xfId="1414"/>
    <cellStyle name="쉼표 [0] 10 3 3 2" xfId="1415"/>
    <cellStyle name="쉼표 [0] 10 3 4" xfId="1416"/>
    <cellStyle name="쉼표 [0] 10 3 4 2" xfId="1417"/>
    <cellStyle name="쉼표 [0] 10 3 5" xfId="1418"/>
    <cellStyle name="쉼표 [0] 10 4" xfId="1419"/>
    <cellStyle name="쉼표 [0] 10 4 2" xfId="1420"/>
    <cellStyle name="쉼표 [0] 10 4 2 2" xfId="1421"/>
    <cellStyle name="쉼표 [0] 10 4 3" xfId="1422"/>
    <cellStyle name="쉼표 [0] 10 5" xfId="1423"/>
    <cellStyle name="쉼표 [0] 10 5 2" xfId="1424"/>
    <cellStyle name="쉼표 [0] 10 6" xfId="1425"/>
    <cellStyle name="쉼표 [0] 10 6 2" xfId="1426"/>
    <cellStyle name="쉼표 [0] 10 7" xfId="1427"/>
    <cellStyle name="쉼표 [0] 11" xfId="1428"/>
    <cellStyle name="쉼표 [0] 11 2" xfId="1429"/>
    <cellStyle name="쉼표 [0] 11 2 2" xfId="1430"/>
    <cellStyle name="쉼표 [0] 11 2 2 2" xfId="1431"/>
    <cellStyle name="쉼표 [0] 11 2 2 2 2" xfId="1432"/>
    <cellStyle name="쉼표 [0] 11 2 2 3" xfId="1433"/>
    <cellStyle name="쉼표 [0] 11 2 3" xfId="1434"/>
    <cellStyle name="쉼표 [0] 11 2 3 2" xfId="1435"/>
    <cellStyle name="쉼표 [0] 11 2 4" xfId="1436"/>
    <cellStyle name="쉼표 [0] 11 2 4 2" xfId="1437"/>
    <cellStyle name="쉼표 [0] 11 2 5" xfId="1438"/>
    <cellStyle name="쉼표 [0] 11 2 5 2" xfId="1439"/>
    <cellStyle name="쉼표 [0] 11 2 6" xfId="1440"/>
    <cellStyle name="쉼표 [0] 11 3" xfId="1441"/>
    <cellStyle name="쉼표 [0] 11 3 2" xfId="1442"/>
    <cellStyle name="쉼표 [0] 11 3 2 2" xfId="1443"/>
    <cellStyle name="쉼표 [0] 11 3 2 2 2" xfId="1444"/>
    <cellStyle name="쉼표 [0] 11 3 2 3" xfId="1445"/>
    <cellStyle name="쉼표 [0] 11 3 3" xfId="1446"/>
    <cellStyle name="쉼표 [0] 11 3 3 2" xfId="1447"/>
    <cellStyle name="쉼표 [0] 11 3 4" xfId="1448"/>
    <cellStyle name="쉼표 [0] 11 3 4 2" xfId="1449"/>
    <cellStyle name="쉼표 [0] 11 3 5" xfId="1450"/>
    <cellStyle name="쉼표 [0] 11 3 5 2" xfId="1451"/>
    <cellStyle name="쉼표 [0] 11 3 6" xfId="1452"/>
    <cellStyle name="쉼표 [0] 11 4" xfId="1453"/>
    <cellStyle name="쉼표 [0] 11 4 2" xfId="1454"/>
    <cellStyle name="쉼표 [0] 11 4 2 2" xfId="1455"/>
    <cellStyle name="쉼표 [0] 11 4 3" xfId="1456"/>
    <cellStyle name="쉼표 [0] 11 4 3 2" xfId="1457"/>
    <cellStyle name="쉼표 [0] 11 4 4" xfId="1458"/>
    <cellStyle name="쉼표 [0] 11 4 4 2" xfId="1459"/>
    <cellStyle name="쉼표 [0] 11 4 5" xfId="1460"/>
    <cellStyle name="쉼표 [0] 11 5" xfId="1461"/>
    <cellStyle name="쉼표 [0] 11 5 2" xfId="1462"/>
    <cellStyle name="쉼표 [0] 11 6" xfId="1463"/>
    <cellStyle name="쉼표 [0] 11 6 2" xfId="1464"/>
    <cellStyle name="쉼표 [0] 11 7" xfId="1465"/>
    <cellStyle name="쉼표 [0] 11 7 2" xfId="1466"/>
    <cellStyle name="쉼표 [0] 11 8" xfId="1467"/>
    <cellStyle name="쉼표 [0] 12" xfId="1468"/>
    <cellStyle name="쉼표 [0] 12 2" xfId="1469"/>
    <cellStyle name="쉼표 [0] 12 2 2" xfId="1470"/>
    <cellStyle name="쉼표 [0] 12 2 2 2" xfId="1471"/>
    <cellStyle name="쉼표 [0] 12 2 3" xfId="1472"/>
    <cellStyle name="쉼표 [0] 12 3" xfId="1473"/>
    <cellStyle name="쉼표 [0] 12 3 2" xfId="1474"/>
    <cellStyle name="쉼표 [0] 12 4" xfId="1475"/>
    <cellStyle name="쉼표 [0] 12 4 2" xfId="1476"/>
    <cellStyle name="쉼표 [0] 12 5" xfId="1477"/>
    <cellStyle name="쉼표 [0] 12 5 2" xfId="1478"/>
    <cellStyle name="쉼표 [0] 12 6" xfId="1479"/>
    <cellStyle name="쉼표 [0] 13" xfId="1480"/>
    <cellStyle name="쉼표 [0] 13 2" xfId="1481"/>
    <cellStyle name="쉼표 [0] 13 2 2" xfId="1482"/>
    <cellStyle name="쉼표 [0] 13 3" xfId="1483"/>
    <cellStyle name="쉼표 [0] 14" xfId="1484"/>
    <cellStyle name="쉼표 [0] 14 2" xfId="1485"/>
    <cellStyle name="쉼표 [0] 14 2 2" xfId="1486"/>
    <cellStyle name="쉼표 [0] 14 3" xfId="1487"/>
    <cellStyle name="쉼표 [0] 15" xfId="1488"/>
    <cellStyle name="쉼표 [0] 15 2" xfId="1489"/>
    <cellStyle name="쉼표 [0] 15 2 2" xfId="1490"/>
    <cellStyle name="쉼표 [0] 15 3" xfId="1491"/>
    <cellStyle name="쉼표 [0] 16" xfId="1492"/>
    <cellStyle name="쉼표 [0] 16 2" xfId="1493"/>
    <cellStyle name="쉼표 [0] 2" xfId="1494"/>
    <cellStyle name="쉼표 [0] 2 10" xfId="1495"/>
    <cellStyle name="쉼표 [0] 2 10 2" xfId="1496"/>
    <cellStyle name="쉼표 [0] 2 10 2 2" xfId="1497"/>
    <cellStyle name="쉼표 [0] 2 10 3" xfId="1498"/>
    <cellStyle name="쉼표 [0] 2 11" xfId="1499"/>
    <cellStyle name="쉼표 [0] 2 11 2" xfId="1500"/>
    <cellStyle name="쉼표 [0] 2 12" xfId="1501"/>
    <cellStyle name="쉼표 [0] 2 12 2" xfId="1502"/>
    <cellStyle name="쉼표 [0] 2 13" xfId="1503"/>
    <cellStyle name="쉼표 [0] 2 2" xfId="1504"/>
    <cellStyle name="쉼표 [0] 2 2 2" xfId="1505"/>
    <cellStyle name="쉼표 [0] 2 2 2 2" xfId="1506"/>
    <cellStyle name="쉼표 [0] 2 2 2 2 2" xfId="1507"/>
    <cellStyle name="쉼표 [0] 2 2 2 2 2 2" xfId="1508"/>
    <cellStyle name="쉼표 [0] 2 2 2 2 3" xfId="1509"/>
    <cellStyle name="쉼표 [0] 2 2 2 2 3 2" xfId="1510"/>
    <cellStyle name="쉼표 [0] 2 2 2 2 4" xfId="1511"/>
    <cellStyle name="쉼표 [0] 2 2 2 2 4 2" xfId="1512"/>
    <cellStyle name="쉼표 [0] 2 2 2 2 5" xfId="1513"/>
    <cellStyle name="쉼표 [0] 2 2 2 3" xfId="1514"/>
    <cellStyle name="쉼표 [0] 2 2 2 3 2" xfId="1515"/>
    <cellStyle name="쉼표 [0] 2 2 2 4" xfId="1516"/>
    <cellStyle name="쉼표 [0] 2 2 2 4 2" xfId="1517"/>
    <cellStyle name="쉼표 [0] 2 2 2 5" xfId="1518"/>
    <cellStyle name="쉼표 [0] 2 2 2 5 2" xfId="1519"/>
    <cellStyle name="쉼표 [0] 2 2 2 6" xfId="1520"/>
    <cellStyle name="쉼표 [0] 2 2 3" xfId="1521"/>
    <cellStyle name="쉼표 [0] 2 2 3 2" xfId="1522"/>
    <cellStyle name="쉼표 [0] 2 2 3 2 2" xfId="1523"/>
    <cellStyle name="쉼표 [0] 2 2 3 2 2 2" xfId="1524"/>
    <cellStyle name="쉼표 [0] 2 2 3 2 3" xfId="1525"/>
    <cellStyle name="쉼표 [0] 2 2 3 2 3 2" xfId="1526"/>
    <cellStyle name="쉼표 [0] 2 2 3 2 4" xfId="1527"/>
    <cellStyle name="쉼표 [0] 2 2 3 2 4 2" xfId="1528"/>
    <cellStyle name="쉼표 [0] 2 2 3 2 5" xfId="1529"/>
    <cellStyle name="쉼표 [0] 2 2 3 3" xfId="1530"/>
    <cellStyle name="쉼표 [0] 2 2 3 3 2" xfId="1531"/>
    <cellStyle name="쉼표 [0] 2 2 3 4" xfId="1532"/>
    <cellStyle name="쉼표 [0] 2 2 3 4 2" xfId="1533"/>
    <cellStyle name="쉼표 [0] 2 2 3 5" xfId="1534"/>
    <cellStyle name="쉼표 [0] 2 2 3 5 2" xfId="1535"/>
    <cellStyle name="쉼표 [0] 2 2 3 6" xfId="1536"/>
    <cellStyle name="쉼표 [0] 2 2 4" xfId="1537"/>
    <cellStyle name="쉼표 [0] 2 2 4 2" xfId="1538"/>
    <cellStyle name="쉼표 [0] 2 2 4 2 2" xfId="1539"/>
    <cellStyle name="쉼표 [0] 2 2 4 2 2 2" xfId="1540"/>
    <cellStyle name="쉼표 [0] 2 2 4 2 3" xfId="1541"/>
    <cellStyle name="쉼표 [0] 2 2 4 2 3 2" xfId="1542"/>
    <cellStyle name="쉼표 [0] 2 2 4 2 4" xfId="1543"/>
    <cellStyle name="쉼표 [0] 2 2 4 2 4 2" xfId="1544"/>
    <cellStyle name="쉼표 [0] 2 2 4 2 5" xfId="1545"/>
    <cellStyle name="쉼표 [0] 2 2 4 3" xfId="1546"/>
    <cellStyle name="쉼표 [0] 2 2 4 3 2" xfId="1547"/>
    <cellStyle name="쉼표 [0] 2 2 4 4" xfId="1548"/>
    <cellStyle name="쉼표 [0] 2 2 4 4 2" xfId="1549"/>
    <cellStyle name="쉼표 [0] 2 2 4 5" xfId="1550"/>
    <cellStyle name="쉼표 [0] 2 2 4 5 2" xfId="1551"/>
    <cellStyle name="쉼표 [0] 2 2 4 6" xfId="1552"/>
    <cellStyle name="쉼표 [0] 2 2 5" xfId="1553"/>
    <cellStyle name="쉼표 [0] 2 2 5 2" xfId="1554"/>
    <cellStyle name="쉼표 [0] 2 2 5 2 2" xfId="1555"/>
    <cellStyle name="쉼표 [0] 2 2 5 3" xfId="0"/>
    <cellStyle name="쉼표 [0] 2 2 5 3 2" xfId="0"/>
    <cellStyle name="쉼표 [0] 2 2 5 4" xfId="0"/>
    <cellStyle name="쉼표 [0] 2 2 5 4 2" xfId="0"/>
    <cellStyle name="쉼표 [0] 2 2 5 5" xfId="0"/>
    <cellStyle name="쉼표 [0] 2 2 6" xfId="0"/>
    <cellStyle name="쉼표 [0] 2 2 6 2" xfId="0"/>
    <cellStyle name="쉼표 [0] 2 2 7" xfId="0"/>
    <cellStyle name="쉼표 [0] 2 2 7 2" xfId="0"/>
    <cellStyle name="쉼표 [0] 2 2 8" xfId="0"/>
    <cellStyle name="쉼표 [0] 2 2 8 2" xfId="0"/>
    <cellStyle name="쉼표 [0] 2 2 9" xfId="0"/>
    <cellStyle name="쉼표 [0] 2 3" xfId="0"/>
    <cellStyle name="쉼표 [0] 2 3 2" xfId="0"/>
    <cellStyle name="쉼표 [0] 2 3 2 2" xfId="0"/>
    <cellStyle name="쉼표 [0] 2 3 2 2 2" xfId="0"/>
    <cellStyle name="쉼표 [0] 2 3 2 2 2 2" xfId="0"/>
    <cellStyle name="쉼표 [0] 2 3 2 2 3" xfId="0"/>
    <cellStyle name="쉼표 [0] 2 3 2 2 3 2" xfId="0"/>
    <cellStyle name="쉼표 [0] 2 3 2 2 4" xfId="0"/>
    <cellStyle name="쉼표 [0] 2 3 2 2 4 2" xfId="0"/>
    <cellStyle name="쉼표 [0] 2 3 2 2 5" xfId="0"/>
    <cellStyle name="쉼표 [0] 2 3 2 3" xfId="0"/>
    <cellStyle name="쉼표 [0] 2 3 2 3 2" xfId="0"/>
    <cellStyle name="쉼표 [0] 2 3 2 4" xfId="0"/>
    <cellStyle name="쉼표 [0] 2 3 2 4 2" xfId="0"/>
    <cellStyle name="쉼표 [0] 2 3 2 5" xfId="0"/>
    <cellStyle name="쉼표 [0] 2 3 2 5 2" xfId="0"/>
    <cellStyle name="쉼표 [0] 2 3 2 6" xfId="0"/>
    <cellStyle name="쉼표 [0] 2 3 3" xfId="0"/>
    <cellStyle name="쉼표 [0] 2 3 3 2" xfId="0"/>
    <cellStyle name="쉼표 [0] 2 3 3 2 2" xfId="0"/>
    <cellStyle name="쉼표 [0] 2 3 3 3" xfId="0"/>
    <cellStyle name="쉼표 [0] 2 3 3 3 2" xfId="0"/>
    <cellStyle name="쉼표 [0] 2 3 3 4" xfId="0"/>
    <cellStyle name="쉼표 [0] 2 3 4" xfId="0"/>
    <cellStyle name="쉼표 [0] 2 3 4 2" xfId="0"/>
    <cellStyle name="쉼표 [0] 2 3 4 2 2" xfId="0"/>
    <cellStyle name="쉼표 [0] 2 3 4 3" xfId="0"/>
    <cellStyle name="쉼표 [0] 2 3 5" xfId="0"/>
    <cellStyle name="쉼표 [0] 2 3 5 2" xfId="0"/>
    <cellStyle name="쉼표 [0] 2 3 6" xfId="0"/>
    <cellStyle name="쉼표 [0] 2 3 6 2" xfId="0"/>
    <cellStyle name="쉼표 [0] 2 3 7" xfId="0"/>
    <cellStyle name="쉼표 [0] 2 3 7 2" xfId="0"/>
    <cellStyle name="쉼표 [0] 2 3 8" xfId="0"/>
    <cellStyle name="쉼표 [0] 2 4" xfId="0"/>
    <cellStyle name="쉼표 [0] 2 4 2" xfId="0"/>
    <cellStyle name="쉼표 [0] 2 4 2 2" xfId="0"/>
    <cellStyle name="쉼표 [0] 2 4 2 2 2" xfId="0"/>
    <cellStyle name="쉼표 [0] 2 4 2 2 2 2" xfId="0"/>
    <cellStyle name="쉼표 [0] 2 4 2 2 3" xfId="0"/>
    <cellStyle name="쉼표 [0] 2 4 2 3" xfId="0"/>
    <cellStyle name="쉼표 [0] 2 4 2 3 2" xfId="0"/>
    <cellStyle name="쉼표 [0] 2 4 2 4" xfId="0"/>
    <cellStyle name="쉼표 [0] 2 4 2 4 2" xfId="0"/>
    <cellStyle name="쉼표 [0] 2 4 2 5" xfId="0"/>
    <cellStyle name="쉼표 [0] 2 4 2 5 2" xfId="0"/>
    <cellStyle name="쉼표 [0] 2 4 2 6" xfId="0"/>
    <cellStyle name="쉼표 [0] 2 4 3" xfId="0"/>
    <cellStyle name="쉼표 [0] 2 4 3 2" xfId="0"/>
    <cellStyle name="쉼표 [0] 2 4 3 2 2" xfId="0"/>
    <cellStyle name="쉼표 [0] 2 4 3 3" xfId="0"/>
    <cellStyle name="쉼표 [0] 2 4 3 3 2" xfId="0"/>
    <cellStyle name="쉼표 [0] 2 4 3 4" xfId="0"/>
    <cellStyle name="쉼표 [0] 2 4 3 4 2" xfId="0"/>
    <cellStyle name="쉼표 [0] 2 4 3 5" xfId="0"/>
    <cellStyle name="쉼표 [0] 2 4 4" xfId="0"/>
    <cellStyle name="쉼표 [0] 2 4 4 2" xfId="0"/>
    <cellStyle name="쉼표 [0] 2 4 5" xfId="0"/>
    <cellStyle name="쉼표 [0] 2 4 5 2" xfId="0"/>
    <cellStyle name="쉼표 [0] 2 4 6" xfId="0"/>
    <cellStyle name="쉼표 [0] 2 4 6 2" xfId="0"/>
    <cellStyle name="쉼표 [0] 2 4 7" xfId="0"/>
    <cellStyle name="쉼표 [0] 2 5" xfId="0"/>
    <cellStyle name="쉼표 [0] 2 5 2" xfId="0"/>
    <cellStyle name="쉼표 [0] 2 5 2 2" xfId="0"/>
    <cellStyle name="쉼표 [0] 2 5 2 2 2" xfId="0"/>
    <cellStyle name="쉼표 [0] 2 5 2 3" xfId="0"/>
    <cellStyle name="쉼표 [0] 2 5 2 3 2" xfId="0"/>
    <cellStyle name="쉼표 [0] 2 5 2 4" xfId="0"/>
    <cellStyle name="쉼표 [0] 2 5 2 4 2" xfId="0"/>
    <cellStyle name="쉼표 [0] 2 5 2 5" xfId="0"/>
    <cellStyle name="쉼표 [0] 2 5 3" xfId="0"/>
    <cellStyle name="쉼표 [0] 2 5 3 2" xfId="0"/>
    <cellStyle name="쉼표 [0] 2 5 4" xfId="0"/>
    <cellStyle name="쉼표 [0] 2 5 4 2" xfId="0"/>
    <cellStyle name="쉼표 [0] 2 5 5" xfId="0"/>
    <cellStyle name="쉼표 [0] 2 5 5 2" xfId="0"/>
    <cellStyle name="쉼표 [0] 2 5 6" xfId="0"/>
    <cellStyle name="쉼표 [0] 2 6" xfId="0"/>
    <cellStyle name="쉼표 [0] 2 6 2" xfId="0"/>
    <cellStyle name="쉼표 [0] 2 6 2 2" xfId="0"/>
    <cellStyle name="쉼표 [0] 2 6 3" xfId="0"/>
    <cellStyle name="쉼표 [0] 2 6 3 2" xfId="0"/>
    <cellStyle name="쉼표 [0] 2 6 4" xfId="0"/>
    <cellStyle name="쉼표 [0] 2 6 4 2" xfId="0"/>
    <cellStyle name="쉼표 [0] 2 6 5" xfId="0"/>
    <cellStyle name="쉼표 [0] 2 7" xfId="0"/>
    <cellStyle name="쉼표 [0] 2 7 2" xfId="0"/>
    <cellStyle name="쉼표 [0] 2 7 2 2" xfId="0"/>
    <cellStyle name="쉼표 [0] 2 7 3" xfId="0"/>
    <cellStyle name="쉼표 [0] 2 8" xfId="0"/>
    <cellStyle name="쉼표 [0] 2 8 2" xfId="0"/>
    <cellStyle name="쉼표 [0] 2 8 2 2" xfId="0"/>
    <cellStyle name="쉼표 [0] 2 8 3" xfId="0"/>
    <cellStyle name="쉼표 [0] 2 9" xfId="0"/>
    <cellStyle name="쉼표 [0] 2 9 2" xfId="0"/>
    <cellStyle name="쉼표 [0] 3" xfId="0"/>
    <cellStyle name="쉼표 [0] 3 2" xfId="0"/>
    <cellStyle name="쉼표 [0] 3 2 2" xfId="0"/>
    <cellStyle name="쉼표 [0] 3 2 2 2" xfId="0"/>
    <cellStyle name="쉼표 [0] 3 2 2 2 2" xfId="0"/>
    <cellStyle name="쉼표 [0] 3 2 2 2 2 2" xfId="0"/>
    <cellStyle name="쉼표 [0] 3 2 2 2 3" xfId="0"/>
    <cellStyle name="쉼표 [0] 3 2 2 2 3 2" xfId="0"/>
    <cellStyle name="쉼표 [0] 3 2 2 2 4" xfId="0"/>
    <cellStyle name="쉼표 [0] 3 2 2 2 4 2" xfId="0"/>
    <cellStyle name="쉼표 [0] 3 2 2 2 5" xfId="0"/>
    <cellStyle name="쉼표 [0] 3 2 2 3" xfId="0"/>
    <cellStyle name="쉼표 [0] 3 2 2 3 2" xfId="0"/>
    <cellStyle name="쉼표 [0] 3 2 2 4" xfId="0"/>
    <cellStyle name="쉼표 [0] 3 2 2 4 2" xfId="0"/>
    <cellStyle name="쉼표 [0] 3 2 2 5" xfId="0"/>
    <cellStyle name="쉼표 [0] 3 2 2 5 2" xfId="0"/>
    <cellStyle name="쉼표 [0] 3 2 2 6" xfId="0"/>
    <cellStyle name="쉼표 [0] 3 2 3" xfId="0"/>
    <cellStyle name="쉼표 [0] 3 2 3 2" xfId="0"/>
    <cellStyle name="쉼표 [0] 3 2 3 2 2" xfId="0"/>
    <cellStyle name="쉼표 [0] 3 2 3 2 2 2" xfId="0"/>
    <cellStyle name="쉼표 [0] 3 2 3 2 3" xfId="0"/>
    <cellStyle name="쉼표 [0] 3 2 3 3" xfId="0"/>
    <cellStyle name="쉼표 [0] 3 2 3 3 2" xfId="0"/>
    <cellStyle name="쉼표 [0] 3 2 3 4" xfId="0"/>
    <cellStyle name="쉼표 [0] 3 2 3 4 2" xfId="0"/>
    <cellStyle name="쉼표 [0] 3 2 3 5" xfId="0"/>
    <cellStyle name="쉼표 [0] 3 2 3 5 2" xfId="0"/>
    <cellStyle name="쉼표 [0] 3 2 3 6" xfId="0"/>
    <cellStyle name="쉼표 [0] 3 2 4" xfId="0"/>
    <cellStyle name="쉼표 [0] 3 2 4 2" xfId="0"/>
    <cellStyle name="쉼표 [0] 3 2 5" xfId="0"/>
    <cellStyle name="쉼표 [0] 3 2 5 2" xfId="0"/>
    <cellStyle name="쉼표 [0] 3 2 6" xfId="0"/>
    <cellStyle name="쉼표 [0] 3 2 6 2" xfId="0"/>
    <cellStyle name="쉼표 [0] 3 2 7" xfId="0"/>
    <cellStyle name="쉼표 [0] 3 3" xfId="0"/>
    <cellStyle name="쉼표 [0] 3 3 2" xfId="0"/>
    <cellStyle name="쉼표 [0] 3 3 2 2" xfId="0"/>
    <cellStyle name="쉼표 [0] 3 3 3" xfId="0"/>
    <cellStyle name="쉼표 [0] 3 3 3 2" xfId="0"/>
    <cellStyle name="쉼표 [0] 3 3 4" xfId="0"/>
    <cellStyle name="쉼표 [0] 3 3 4 2" xfId="0"/>
    <cellStyle name="쉼표 [0] 3 3 5" xfId="0"/>
    <cellStyle name="쉼표 [0] 3 4" xfId="0"/>
    <cellStyle name="쉼표 [0] 3 4 2" xfId="0"/>
    <cellStyle name="쉼표 [0] 3 4 2 2" xfId="0"/>
    <cellStyle name="쉼표 [0] 3 4 3" xfId="0"/>
    <cellStyle name="쉼표 [0] 3 4 3 2" xfId="0"/>
    <cellStyle name="쉼표 [0] 3 4 4" xfId="0"/>
    <cellStyle name="쉼표 [0] 3 4 4 2" xfId="0"/>
    <cellStyle name="쉼표 [0] 3 4 5" xfId="0"/>
    <cellStyle name="쉼표 [0] 3 5" xfId="0"/>
    <cellStyle name="쉼표 [0] 3 5 2" xfId="0"/>
    <cellStyle name="쉼표 [0] 3 5 2 2" xfId="0"/>
    <cellStyle name="쉼표 [0] 3 5 3" xfId="0"/>
    <cellStyle name="쉼표 [0] 3 6" xfId="0"/>
    <cellStyle name="쉼표 [0] 3 6 2" xfId="0"/>
    <cellStyle name="쉼표 [0] 3 6 2 2" xfId="0"/>
    <cellStyle name="쉼표 [0] 3 6 3" xfId="0"/>
    <cellStyle name="쉼표 [0] 3 7" xfId="0"/>
    <cellStyle name="쉼표 [0] 3 7 2" xfId="0"/>
    <cellStyle name="쉼표 [0] 3 8" xfId="0"/>
    <cellStyle name="쉼표 [0] 3 8 2" xfId="0"/>
    <cellStyle name="쉼표 [0] 3 9" xfId="0"/>
    <cellStyle name="쉼표 [0] 4" xfId="0"/>
    <cellStyle name="쉼표 [0] 4 2" xfId="0"/>
    <cellStyle name="쉼표 [0] 4 2 2" xfId="0"/>
    <cellStyle name="쉼표 [0] 4 2 2 2" xfId="0"/>
    <cellStyle name="쉼표 [0] 4 2 2 2 2" xfId="0"/>
    <cellStyle name="쉼표 [0] 4 2 2 3" xfId="0"/>
    <cellStyle name="쉼표 [0] 4 2 2 3 2" xfId="0"/>
    <cellStyle name="쉼표 [0] 4 2 2 4" xfId="0"/>
    <cellStyle name="쉼표 [0] 4 2 2 4 2" xfId="0"/>
    <cellStyle name="쉼표 [0] 4 2 2 5" xfId="0"/>
    <cellStyle name="쉼표 [0] 4 2 3" xfId="0"/>
    <cellStyle name="쉼표 [0] 4 2 3 2" xfId="0"/>
    <cellStyle name="쉼표 [0] 4 2 4" xfId="0"/>
    <cellStyle name="쉼표 [0] 4 2 4 2" xfId="0"/>
    <cellStyle name="쉼표 [0] 4 2 5" xfId="0"/>
    <cellStyle name="쉼표 [0] 4 2 5 2" xfId="0"/>
    <cellStyle name="쉼표 [0] 4 2 6" xfId="0"/>
    <cellStyle name="쉼표 [0] 4 3" xfId="0"/>
    <cellStyle name="쉼표 [0] 4 3 2" xfId="0"/>
    <cellStyle name="쉼표 [0] 4 3 2 2" xfId="0"/>
    <cellStyle name="쉼표 [0] 4 3 3" xfId="0"/>
    <cellStyle name="쉼표 [0] 4 4" xfId="0"/>
    <cellStyle name="쉼표 [0] 4 4 2" xfId="0"/>
    <cellStyle name="쉼표 [0] 4 4 2 2" xfId="0"/>
    <cellStyle name="쉼표 [0] 4 4 3" xfId="0"/>
    <cellStyle name="쉼표 [0] 4 5" xfId="0"/>
    <cellStyle name="쉼표 [0] 4 5 2" xfId="0"/>
    <cellStyle name="쉼표 [0] 4 6" xfId="0"/>
    <cellStyle name="쉼표 [0] 4 6 2" xfId="0"/>
    <cellStyle name="쉼표 [0] 4 7" xfId="0"/>
    <cellStyle name="쉼표 [0] 4 7 2" xfId="0"/>
    <cellStyle name="쉼표 [0] 5" xfId="0"/>
    <cellStyle name="쉼표 [0] 5 2" xfId="0"/>
    <cellStyle name="쉼표 [0] 5 2 2" xfId="0"/>
    <cellStyle name="쉼표 [0] 5 2 2 2" xfId="0"/>
    <cellStyle name="쉼표 [0] 5 2 2 2 2" xfId="0"/>
    <cellStyle name="쉼표 [0] 5 2 2 3" xfId="0"/>
    <cellStyle name="쉼표 [0] 5 2 2 3 2" xfId="0"/>
    <cellStyle name="쉼표 [0] 5 2 2 4" xfId="0"/>
    <cellStyle name="쉼표 [0] 5 2 2 4 2" xfId="0"/>
    <cellStyle name="쉼표 [0] 5 2 2 5" xfId="0"/>
    <cellStyle name="쉼표 [0] 5 2 3" xfId="0"/>
    <cellStyle name="쉼표 [0] 5 2 3 2" xfId="0"/>
    <cellStyle name="쉼표 [0] 5 2 4" xfId="0"/>
    <cellStyle name="쉼표 [0] 5 2 4 2" xfId="0"/>
    <cellStyle name="쉼표 [0] 5 2 5" xfId="0"/>
    <cellStyle name="쉼표 [0] 5 2 5 2" xfId="0"/>
    <cellStyle name="쉼표 [0] 5 2 6" xfId="0"/>
    <cellStyle name="쉼표 [0] 5 3" xfId="0"/>
    <cellStyle name="쉼표 [0] 5 3 2" xfId="0"/>
    <cellStyle name="쉼표 [0] 5 3 2 2" xfId="0"/>
    <cellStyle name="쉼표 [0] 5 3 3" xfId="0"/>
    <cellStyle name="쉼표 [0] 5 3 3 2" xfId="0"/>
    <cellStyle name="쉼표 [0] 5 3 4" xfId="0"/>
    <cellStyle name="쉼표 [0] 5 4" xfId="0"/>
    <cellStyle name="쉼표 [0] 5 4 2" xfId="0"/>
    <cellStyle name="쉼표 [0] 5 4 2 2" xfId="0"/>
    <cellStyle name="쉼표 [0] 5 4 3" xfId="0"/>
    <cellStyle name="쉼표 [0] 5 5" xfId="0"/>
    <cellStyle name="쉼표 [0] 5 5 2" xfId="0"/>
    <cellStyle name="쉼표 [0] 5 6" xfId="0"/>
    <cellStyle name="쉼표 [0] 5 6 2" xfId="0"/>
    <cellStyle name="쉼표 [0] 5 7" xfId="0"/>
    <cellStyle name="쉼표 [0] 5 7 2" xfId="0"/>
    <cellStyle name="쉼표 [0] 5 8" xfId="0"/>
    <cellStyle name="쉼표 [0] 5 8 2" xfId="0"/>
    <cellStyle name="쉼표 [0] 5 9" xfId="0"/>
    <cellStyle name="쉼표 [0] 6" xfId="0"/>
    <cellStyle name="쉼표 [0] 6 2" xfId="0"/>
    <cellStyle name="쉼표 [0] 6 2 2" xfId="0"/>
    <cellStyle name="쉼표 [0] 6 2 2 2" xfId="0"/>
    <cellStyle name="쉼표 [0] 6 2 2 2 2" xfId="0"/>
    <cellStyle name="쉼표 [0] 6 2 2 2 2 2" xfId="0"/>
    <cellStyle name="쉼표 [0] 6 2 2 2 3" xfId="0"/>
    <cellStyle name="쉼표 [0] 6 2 2 3" xfId="0"/>
    <cellStyle name="쉼표 [0] 6 2 2 3 2" xfId="0"/>
    <cellStyle name="쉼표 [0] 6 2 2 4" xfId="0"/>
    <cellStyle name="쉼표 [0] 6 2 2 4 2" xfId="0"/>
    <cellStyle name="쉼표 [0] 6 2 2 5" xfId="0"/>
    <cellStyle name="쉼표 [0] 6 2 2 5 2" xfId="0"/>
    <cellStyle name="쉼표 [0] 6 2 2 6" xfId="0"/>
    <cellStyle name="쉼표 [0] 6 2 3" xfId="0"/>
    <cellStyle name="쉼표 [0] 6 2 3 2" xfId="0"/>
    <cellStyle name="쉼표 [0] 6 2 3 2 2" xfId="0"/>
    <cellStyle name="쉼표 [0] 6 2 3 3" xfId="0"/>
    <cellStyle name="쉼표 [0] 6 2 3 3 2" xfId="0"/>
    <cellStyle name="쉼표 [0] 6 2 3 4" xfId="0"/>
    <cellStyle name="쉼표 [0] 6 2 3 4 2" xfId="0"/>
    <cellStyle name="쉼표 [0] 6 2 3 5" xfId="0"/>
    <cellStyle name="쉼표 [0] 6 2 4" xfId="0"/>
    <cellStyle name="쉼표 [0] 6 2 4 2" xfId="0"/>
    <cellStyle name="쉼표 [0] 6 2 5" xfId="0"/>
    <cellStyle name="쉼표 [0] 6 2 5 2" xfId="0"/>
    <cellStyle name="쉼표 [0] 6 2 6" xfId="0"/>
    <cellStyle name="쉼표 [0] 6 2 6 2" xfId="0"/>
    <cellStyle name="쉼표 [0] 6 2 7" xfId="0"/>
    <cellStyle name="쉼표 [0] 6 3" xfId="0"/>
    <cellStyle name="쉼표 [0] 6 3 2" xfId="0"/>
    <cellStyle name="쉼표 [0] 6 3 2 2" xfId="0"/>
    <cellStyle name="쉼표 [0] 6 3 2 2 2" xfId="0"/>
    <cellStyle name="쉼표 [0] 6 3 2 2 2 2" xfId="0"/>
    <cellStyle name="쉼표 [0] 6 3 2 2 3" xfId="0"/>
    <cellStyle name="쉼표 [0] 6 3 2 3" xfId="0"/>
    <cellStyle name="쉼표 [0] 6 3 2 3 2" xfId="0"/>
    <cellStyle name="쉼표 [0] 6 3 2 4" xfId="0"/>
    <cellStyle name="쉼표 [0] 6 3 2 4 2" xfId="0"/>
    <cellStyle name="쉼표 [0] 6 3 2 5" xfId="0"/>
    <cellStyle name="쉼표 [0] 6 3 2 5 2" xfId="0"/>
    <cellStyle name="쉼표 [0] 6 3 2 6" xfId="0"/>
    <cellStyle name="쉼표 [0] 6 3 3" xfId="0"/>
    <cellStyle name="쉼표 [0] 6 3 3 2" xfId="0"/>
    <cellStyle name="쉼표 [0] 6 3 3 2 2" xfId="0"/>
    <cellStyle name="쉼표 [0] 6 3 3 3" xfId="0"/>
    <cellStyle name="쉼표 [0] 6 3 3 3 2" xfId="0"/>
    <cellStyle name="쉼표 [0] 6 3 3 4" xfId="0"/>
    <cellStyle name="쉼표 [0] 6 3 3 4 2" xfId="0"/>
    <cellStyle name="쉼표 [0] 6 3 3 5" xfId="0"/>
    <cellStyle name="쉼표 [0] 6 3 4" xfId="0"/>
    <cellStyle name="쉼표 [0] 6 3 4 2" xfId="0"/>
    <cellStyle name="쉼표 [0] 6 3 5" xfId="0"/>
    <cellStyle name="쉼표 [0] 6 3 5 2" xfId="0"/>
    <cellStyle name="쉼표 [0] 6 3 6" xfId="0"/>
    <cellStyle name="쉼표 [0] 6 3 6 2" xfId="0"/>
    <cellStyle name="쉼표 [0] 6 3 7" xfId="0"/>
    <cellStyle name="쉼표 [0] 6 4" xfId="0"/>
    <cellStyle name="쉼표 [0] 6 4 2" xfId="0"/>
    <cellStyle name="쉼표 [0] 6 4 2 2" xfId="0"/>
    <cellStyle name="쉼표 [0] 6 4 2 2 2" xfId="0"/>
    <cellStyle name="쉼표 [0] 6 4 2 3" xfId="0"/>
    <cellStyle name="쉼표 [0] 6 4 3" xfId="0"/>
    <cellStyle name="쉼표 [0] 6 4 3 2" xfId="0"/>
    <cellStyle name="쉼표 [0] 6 4 4" xfId="0"/>
    <cellStyle name="쉼표 [0] 6 4 4 2" xfId="0"/>
    <cellStyle name="쉼표 [0] 6 4 5" xfId="0"/>
    <cellStyle name="쉼표 [0] 6 4 5 2" xfId="0"/>
    <cellStyle name="쉼표 [0] 6 4 6" xfId="0"/>
    <cellStyle name="쉼표 [0] 6 5" xfId="0"/>
    <cellStyle name="쉼표 [0] 6 5 2" xfId="0"/>
    <cellStyle name="쉼표 [0] 6 5 2 2" xfId="0"/>
    <cellStyle name="쉼표 [0] 6 5 3" xfId="0"/>
    <cellStyle name="쉼표 [0] 6 5 3 2" xfId="0"/>
    <cellStyle name="쉼표 [0] 6 5 4" xfId="0"/>
    <cellStyle name="쉼표 [0] 6 5 4 2" xfId="0"/>
    <cellStyle name="쉼표 [0] 6 5 5" xfId="0"/>
    <cellStyle name="쉼표 [0] 6 6" xfId="0"/>
    <cellStyle name="쉼표 [0] 6 6 2" xfId="0"/>
    <cellStyle name="쉼표 [0] 6 7" xfId="0"/>
    <cellStyle name="쉼표 [0] 6 7 2" xfId="0"/>
    <cellStyle name="쉼표 [0] 6 8" xfId="0"/>
    <cellStyle name="쉼표 [0] 6 8 2" xfId="0"/>
    <cellStyle name="쉼표 [0] 6 9" xfId="0"/>
    <cellStyle name="쉼표 [0] 7" xfId="0"/>
    <cellStyle name="쉼표 [0] 7 2" xfId="0"/>
    <cellStyle name="쉼표 [0] 7 2 2" xfId="0"/>
    <cellStyle name="쉼표 [0] 7 2 2 2" xfId="0"/>
    <cellStyle name="쉼표 [0] 7 2 2 2 2" xfId="0"/>
    <cellStyle name="쉼표 [0] 7 2 2 3" xfId="0"/>
    <cellStyle name="쉼표 [0] 7 2 3" xfId="0"/>
    <cellStyle name="쉼표 [0] 7 2 3 2" xfId="0"/>
    <cellStyle name="쉼표 [0] 7 2 4" xfId="0"/>
    <cellStyle name="쉼표 [0] 7 2 4 2" xfId="0"/>
    <cellStyle name="쉼표 [0] 7 2 5" xfId="0"/>
    <cellStyle name="쉼표 [0] 7 2 5 2" xfId="0"/>
    <cellStyle name="쉼표 [0] 7 2 6" xfId="0"/>
    <cellStyle name="쉼표 [0] 7 3" xfId="0"/>
    <cellStyle name="쉼표 [0] 7 3 2" xfId="0"/>
    <cellStyle name="쉼표 [0] 7 3 2 2" xfId="0"/>
    <cellStyle name="쉼표 [0] 7 3 3" xfId="0"/>
    <cellStyle name="쉼표 [0] 7 3 3 2" xfId="0"/>
    <cellStyle name="쉼표 [0] 7 3 4" xfId="0"/>
    <cellStyle name="쉼표 [0] 7 3 4 2" xfId="0"/>
    <cellStyle name="쉼표 [0] 7 3 5" xfId="0"/>
    <cellStyle name="쉼표 [0] 7 4" xfId="0"/>
    <cellStyle name="쉼표 [0] 7 4 2" xfId="0"/>
    <cellStyle name="쉼표 [0] 7 5" xfId="0"/>
    <cellStyle name="쉼표 [0] 7 5 2" xfId="0"/>
    <cellStyle name="쉼표 [0] 7 6" xfId="0"/>
    <cellStyle name="쉼표 [0] 7 6 2" xfId="0"/>
    <cellStyle name="쉼표 [0] 7 7" xfId="0"/>
    <cellStyle name="쉼표 [0] 8" xfId="0"/>
    <cellStyle name="쉼표 [0] 8 2" xfId="0"/>
    <cellStyle name="쉼표 [0] 8 2 2" xfId="0"/>
    <cellStyle name="쉼표 [0] 8 2 2 2" xfId="0"/>
    <cellStyle name="쉼표 [0] 8 2 2 2 2" xfId="0"/>
    <cellStyle name="쉼표 [0] 8 2 2 2 2 2" xfId="0"/>
    <cellStyle name="쉼표 [0] 8 2 2 2 3" xfId="0"/>
    <cellStyle name="쉼표 [0] 8 2 2 3" xfId="0"/>
    <cellStyle name="쉼표 [0] 8 2 2 3 2" xfId="0"/>
    <cellStyle name="쉼표 [0] 8 2 2 4" xfId="0"/>
    <cellStyle name="쉼표 [0] 8 2 2 4 2" xfId="0"/>
    <cellStyle name="쉼표 [0] 8 2 2 5" xfId="0"/>
    <cellStyle name="쉼표 [0] 8 2 2 5 2" xfId="0"/>
    <cellStyle name="쉼표 [0] 8 2 2 6" xfId="0"/>
    <cellStyle name="쉼표 [0] 8 2 3" xfId="0"/>
    <cellStyle name="쉼표 [0] 8 2 3 2" xfId="0"/>
    <cellStyle name="쉼표 [0] 8 2 3 2 2" xfId="0"/>
    <cellStyle name="쉼표 [0] 8 2 3 3" xfId="0"/>
    <cellStyle name="쉼표 [0] 8 2 3 3 2" xfId="0"/>
    <cellStyle name="쉼표 [0] 8 2 3 4" xfId="0"/>
    <cellStyle name="쉼표 [0] 8 2 3 4 2" xfId="0"/>
    <cellStyle name="쉼표 [0] 8 2 3 5" xfId="0"/>
    <cellStyle name="쉼표 [0] 8 2 4" xfId="0"/>
    <cellStyle name="쉼표 [0] 8 2 4 2" xfId="0"/>
    <cellStyle name="쉼표 [0] 8 2 5" xfId="0"/>
    <cellStyle name="쉼표 [0] 8 2 5 2" xfId="0"/>
    <cellStyle name="쉼표 [0] 8 2 6" xfId="0"/>
    <cellStyle name="쉼표 [0] 8 2 6 2" xfId="0"/>
    <cellStyle name="쉼표 [0] 8 2 7" xfId="0"/>
    <cellStyle name="쉼표 [0] 8 3" xfId="0"/>
    <cellStyle name="쉼표 [0] 8 3 2" xfId="0"/>
    <cellStyle name="쉼표 [0] 8 3 2 2" xfId="0"/>
    <cellStyle name="쉼표 [0] 8 3 2 2 2" xfId="0"/>
    <cellStyle name="쉼표 [0] 8 3 2 3" xfId="0"/>
    <cellStyle name="쉼표 [0] 8 3 3" xfId="0"/>
    <cellStyle name="쉼표 [0] 8 3 3 2" xfId="0"/>
    <cellStyle name="쉼표 [0] 8 3 4" xfId="0"/>
    <cellStyle name="쉼표 [0] 8 3 4 2" xfId="0"/>
    <cellStyle name="쉼표 [0] 8 3 5" xfId="0"/>
    <cellStyle name="쉼표 [0] 8 3 5 2" xfId="0"/>
    <cellStyle name="쉼표 [0] 8 3 6" xfId="0"/>
    <cellStyle name="쉼표 [0] 8 4" xfId="0"/>
    <cellStyle name="쉼표 [0] 8 4 2" xfId="0"/>
    <cellStyle name="쉼표 [0] 8 4 2 2" xfId="0"/>
    <cellStyle name="쉼표 [0] 8 4 3" xfId="0"/>
    <cellStyle name="쉼표 [0] 8 4 3 2" xfId="0"/>
    <cellStyle name="쉼표 [0] 8 4 4" xfId="0"/>
    <cellStyle name="쉼표 [0] 8 4 4 2" xfId="0"/>
    <cellStyle name="쉼표 [0] 8 4 5" xfId="0"/>
    <cellStyle name="쉼표 [0] 8 5" xfId="0"/>
    <cellStyle name="쉼표 [0] 8 5 2" xfId="0"/>
    <cellStyle name="쉼표 [0] 8 6" xfId="0"/>
    <cellStyle name="쉼표 [0] 8 6 2" xfId="0"/>
    <cellStyle name="쉼표 [0] 8 7" xfId="0"/>
    <cellStyle name="쉼표 [0] 8 7 2" xfId="0"/>
    <cellStyle name="쉼표 [0] 8 8" xfId="0"/>
    <cellStyle name="쉼표 [0] 9" xfId="0"/>
    <cellStyle name="쉼표 [0] 9 2" xfId="0"/>
    <cellStyle name="쉼표 [0] 9 2 2" xfId="0"/>
    <cellStyle name="쉼표 [0] 9 2 2 2" xfId="0"/>
    <cellStyle name="쉼표 [0] 9 2 2 2 2" xfId="0"/>
    <cellStyle name="쉼표 [0] 9 2 2 3" xfId="0"/>
    <cellStyle name="쉼표 [0] 9 2 3" xfId="0"/>
    <cellStyle name="쉼표 [0] 9 2 3 2" xfId="0"/>
    <cellStyle name="쉼표 [0] 9 2 4" xfId="0"/>
    <cellStyle name="쉼표 [0] 9 2 4 2" xfId="0"/>
    <cellStyle name="쉼표 [0] 9 2 5" xfId="0"/>
    <cellStyle name="쉼표 [0] 9 2 5 2" xfId="0"/>
    <cellStyle name="쉼표 [0] 9 2 6" xfId="0"/>
    <cellStyle name="쉼표 [0] 9 3" xfId="0"/>
    <cellStyle name="쉼표 [0] 9 3 2" xfId="0"/>
    <cellStyle name="쉼표 [0] 9 3 2 2" xfId="0"/>
    <cellStyle name="쉼표 [0] 9 3 3" xfId="0"/>
    <cellStyle name="쉼표 [0] 9 3 3 2" xfId="0"/>
    <cellStyle name="쉼표 [0] 9 3 4" xfId="0"/>
    <cellStyle name="쉼표 [0] 9 3 4 2" xfId="0"/>
    <cellStyle name="쉼표 [0] 9 3 5" xfId="0"/>
    <cellStyle name="쉼표 [0] 9 4" xfId="0"/>
    <cellStyle name="쉼표 [0] 9 4 2" xfId="0"/>
    <cellStyle name="쉼표 [0] 9 5" xfId="0"/>
    <cellStyle name="쉼표 [0] 9 5 2" xfId="0"/>
    <cellStyle name="쉼표 [0] 9 6" xfId="0"/>
    <cellStyle name="쉼표 [0] 9 6 2" xfId="0"/>
    <cellStyle name="쉼표 [0] 9 7" xfId="0"/>
    <cellStyle name="스타일 1" xfId="0"/>
    <cellStyle name="지정되지 않음" xfId="0"/>
    <cellStyle name="콤마 [0]_  종  합  " xfId="0"/>
    <cellStyle name="콤마_  종  합  " xfId="0"/>
    <cellStyle name="통화 [0] 2" xfId="0"/>
    <cellStyle name="통화 [0] 2 2" xfId="0"/>
    <cellStyle name="통화 [0] 2 2 2" xfId="0"/>
    <cellStyle name="통화 [0] 2 2 2 2" xfId="0"/>
    <cellStyle name="통화 [0] 2 2 3" xfId="0"/>
    <cellStyle name="통화 [0] 2 2 3 2" xfId="0"/>
    <cellStyle name="통화 [0] 2 2 4" xfId="0"/>
    <cellStyle name="통화 [0] 2 2 4 2" xfId="0"/>
    <cellStyle name="통화 [0] 2 2 5" xfId="0"/>
    <cellStyle name="통화 [0] 2 3" xfId="0"/>
    <cellStyle name="통화 [0] 2 3 2" xfId="0"/>
    <cellStyle name="통화 [0] 2 4" xfId="0"/>
    <cellStyle name="통화 [0] 2 4 2" xfId="0"/>
    <cellStyle name="통화 [0] 2 5" xfId="0"/>
    <cellStyle name="통화 [0] 2 5 2" xfId="0"/>
    <cellStyle name="통화 [0] 2 6" xfId="0"/>
    <cellStyle name="표준 10" xfId="0"/>
    <cellStyle name="표준 10 10" xfId="0"/>
    <cellStyle name="표준 10 2" xfId="0"/>
    <cellStyle name="표준 10 3" xfId="0"/>
    <cellStyle name="표준 11" xfId="0"/>
    <cellStyle name="표준 11 10" xfId="0"/>
    <cellStyle name="표준 11 2" xfId="0"/>
    <cellStyle name="표준 11 2 2" xfId="0"/>
    <cellStyle name="표준 11 3" xfId="0"/>
    <cellStyle name="표준 12" xfId="0"/>
    <cellStyle name="표준 12 2" xfId="0"/>
    <cellStyle name="표준 12 3" xfId="0"/>
    <cellStyle name="표준 13" xfId="0"/>
    <cellStyle name="표준 14" xfId="0"/>
    <cellStyle name="표준 15" xfId="0"/>
    <cellStyle name="표준 16" xfId="0"/>
    <cellStyle name="표준 17" xfId="0"/>
    <cellStyle name="표준 18" xfId="0"/>
    <cellStyle name="표준 18 2" xfId="0"/>
    <cellStyle name="표준 19" xfId="0"/>
    <cellStyle name="표준 2" xfId="0"/>
    <cellStyle name="표준 2 10" xfId="0"/>
    <cellStyle name="표준 2 11" xfId="0"/>
    <cellStyle name="표준 2 2" xfId="0"/>
    <cellStyle name="표준 2 2 10" xfId="0"/>
    <cellStyle name="표준 2 2 2" xfId="0"/>
    <cellStyle name="표준 2 2 2 2" xfId="0"/>
    <cellStyle name="표준 2 2 2 3" xfId="0"/>
    <cellStyle name="표준 2 2 2 3 2" xfId="0"/>
    <cellStyle name="표준 2 2 2 3 3" xfId="0"/>
    <cellStyle name="표준 2 2 2 3 3 2" xfId="0"/>
    <cellStyle name="표준 2 2 2 4" xfId="0"/>
    <cellStyle name="표준 2 2 2 5" xfId="0"/>
    <cellStyle name="표준 2 2 3" xfId="0"/>
    <cellStyle name="표준 2 2 4" xfId="0"/>
    <cellStyle name="표준 2 3" xfId="0"/>
    <cellStyle name="표준 2 3 2" xfId="0"/>
    <cellStyle name="표준 2 4" xfId="0"/>
    <cellStyle name="표준 2 5" xfId="0"/>
    <cellStyle name="표준 2 5 2" xfId="0"/>
    <cellStyle name="표준 2 5 3" xfId="0"/>
    <cellStyle name="표준 2 6" xfId="0"/>
    <cellStyle name="표준 2 7" xfId="0"/>
    <cellStyle name="표준 2 8" xfId="0"/>
    <cellStyle name="표준 2 9" xfId="0"/>
    <cellStyle name="표준 2 9 2" xfId="0"/>
    <cellStyle name="표준 20" xfId="0"/>
    <cellStyle name="표준 21" xfId="0"/>
    <cellStyle name="표준 22" xfId="0"/>
    <cellStyle name="표준 23" xfId="0"/>
    <cellStyle name="표준 2_공정별 수율기록서" xfId="0"/>
    <cellStyle name="표준 3" xfId="0"/>
    <cellStyle name="표준 3 2" xfId="0"/>
    <cellStyle name="표준 3 2 2" xfId="0"/>
    <cellStyle name="표준 3 2 3" xfId="0"/>
    <cellStyle name="표준 3 2 3 2" xfId="0"/>
    <cellStyle name="표준 3 3" xfId="0"/>
    <cellStyle name="표준 3 4" xfId="0"/>
    <cellStyle name="표준 3 5" xfId="0"/>
    <cellStyle name="표준 33" xfId="0"/>
    <cellStyle name="표준 34 10" xfId="0"/>
    <cellStyle name="표준 4" xfId="0"/>
    <cellStyle name="표준 4 10" xfId="0"/>
    <cellStyle name="표준 4 2" xfId="0"/>
    <cellStyle name="표준 4 2 2" xfId="0"/>
    <cellStyle name="표준 4 2 3" xfId="0"/>
    <cellStyle name="표준 4 3" xfId="0"/>
    <cellStyle name="표준 4 3 2" xfId="0"/>
    <cellStyle name="표준 5" xfId="0"/>
    <cellStyle name="표준 5 2" xfId="0"/>
    <cellStyle name="표준 6" xfId="0"/>
    <cellStyle name="표준 6 2" xfId="0"/>
    <cellStyle name="표준 6 3" xfId="0"/>
    <cellStyle name="표준 7" xfId="0"/>
    <cellStyle name="표준 7 2" xfId="0"/>
    <cellStyle name="표준 7 2 2" xfId="0"/>
    <cellStyle name="표준 7 3" xfId="0"/>
    <cellStyle name="표준 7 4" xfId="0"/>
    <cellStyle name="표준 8" xfId="0"/>
    <cellStyle name="표준 8 2" xfId="0"/>
    <cellStyle name="표준 8 3" xfId="0"/>
    <cellStyle name="표준 9" xfId="0"/>
    <cellStyle name="표준 9 2" xfId="0"/>
    <cellStyle name="표준 9 3" xfId="0"/>
    <cellStyle name="표준_제조지시기록 관리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D7D31"/>
      <rgbColor rgb="FF800080"/>
      <rgbColor rgb="FF008080"/>
      <rgbColor rgb="FFC0C0C0"/>
      <rgbColor rgb="FF808080"/>
      <rgbColor rgb="FFEDEDED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146160</xdr:colOff>
      <xdr:row>0</xdr:row>
      <xdr:rowOff>183240</xdr:rowOff>
    </xdr:from>
    <xdr:to>
      <xdr:col>6</xdr:col>
      <xdr:colOff>75600</xdr:colOff>
      <xdr:row>0</xdr:row>
      <xdr:rowOff>510480</xdr:rowOff>
    </xdr:to>
    <xdr:pic>
      <xdr:nvPicPr>
        <xdr:cNvPr id="0" name="그림 1947" descr=""/>
        <xdr:cNvPicPr/>
      </xdr:nvPicPr>
      <xdr:blipFill>
        <a:blip r:embed="rId1"/>
        <a:stretch/>
      </xdr:blipFill>
      <xdr:spPr>
        <a:xfrm>
          <a:off x="146160" y="183240"/>
          <a:ext cx="1766520" cy="32724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테마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30" workbookViewId="0">
      <selection pane="topLeft" activeCell="F27" activeCellId="0" sqref="F27"/>
    </sheetView>
  </sheetViews>
  <sheetFormatPr defaultColWidth="8.796875" defaultRowHeight="17.25" zeroHeight="false" outlineLevelRow="0" outlineLevelCol="0"/>
  <cols>
    <col collapsed="false" customWidth="true" hidden="false" outlineLevel="0" max="1" min="1" style="1" width="5.51"/>
    <col collapsed="false" customWidth="true" hidden="false" outlineLevel="0" max="2" min="2" style="1" width="6"/>
    <col collapsed="false" customWidth="true" hidden="false" outlineLevel="0" max="3" min="3" style="1" width="5.1"/>
    <col collapsed="false" customWidth="true" hidden="false" outlineLevel="0" max="5" min="4" style="1" width="6.5"/>
    <col collapsed="false" customWidth="true" hidden="false" outlineLevel="0" max="6" min="6" style="1" width="6.6"/>
    <col collapsed="false" customWidth="true" hidden="false" outlineLevel="0" max="7" min="7" style="2" width="6"/>
    <col collapsed="false" customWidth="true" hidden="false" outlineLevel="0" max="8" min="8" style="3" width="6.4"/>
    <col collapsed="false" customWidth="true" hidden="false" outlineLevel="0" max="9" min="9" style="3" width="7.4"/>
    <col collapsed="false" customWidth="true" hidden="false" outlineLevel="0" max="10" min="10" style="3" width="4.9"/>
    <col collapsed="false" customWidth="true" hidden="false" outlineLevel="0" max="12" min="11" style="3" width="5.51"/>
    <col collapsed="false" customWidth="true" hidden="false" outlineLevel="0" max="15" min="13" style="4" width="5.51"/>
    <col collapsed="false" customWidth="true" hidden="false" outlineLevel="0" max="16" min="16" style="4" width="4.5"/>
    <col collapsed="false" customWidth="true" hidden="false" outlineLevel="0" max="17" min="17" style="5" width="8.1"/>
    <col collapsed="false" customWidth="true" hidden="false" outlineLevel="0" max="18" min="18" style="5" width="7.3"/>
    <col collapsed="false" customWidth="true" hidden="false" outlineLevel="0" max="19" min="19" style="5" width="5.9"/>
    <col collapsed="false" customWidth="true" hidden="false" outlineLevel="0" max="20" min="20" style="5" width="7.3"/>
    <col collapsed="false" customWidth="true" hidden="false" outlineLevel="0" max="21" min="21" style="5" width="7.1"/>
    <col collapsed="false" customWidth="true" hidden="false" outlineLevel="0" max="22" min="22" style="5" width="6"/>
    <col collapsed="false" customWidth="true" hidden="false" outlineLevel="0" max="25" min="23" style="5" width="4.79"/>
    <col collapsed="false" customWidth="true" hidden="false" outlineLevel="0" max="26" min="26" style="5" width="4.6"/>
    <col collapsed="false" customWidth="true" hidden="false" outlineLevel="0" max="27" min="27" style="5" width="5.3"/>
    <col collapsed="false" customWidth="false" hidden="false" outlineLevel="0" max="16384" min="28" style="5" width="8.79"/>
  </cols>
  <sheetData>
    <row r="1" s="4" customFormat="true" ht="42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="4" customFormat="true" ht="27.75" hidden="false" customHeight="true" outlineLevel="0" collapsed="false">
      <c r="A2" s="7" t="s">
        <v>1</v>
      </c>
      <c r="B2" s="7"/>
      <c r="C2" s="7"/>
      <c r="D2" s="8" t="s">
        <v>2</v>
      </c>
      <c r="E2" s="8"/>
      <c r="F2" s="8"/>
      <c r="G2" s="8"/>
      <c r="H2" s="8"/>
      <c r="I2" s="8"/>
      <c r="J2" s="9" t="s">
        <v>3</v>
      </c>
      <c r="K2" s="9"/>
      <c r="L2" s="9"/>
      <c r="M2" s="10" t="s">
        <v>4</v>
      </c>
      <c r="N2" s="10"/>
      <c r="O2" s="10"/>
      <c r="P2" s="10"/>
    </row>
    <row r="3" s="4" customFormat="true" ht="27.75" hidden="false" customHeight="true" outlineLevel="0" collapsed="false">
      <c r="A3" s="11" t="s">
        <v>5</v>
      </c>
      <c r="B3" s="11"/>
      <c r="C3" s="11"/>
      <c r="D3" s="12" t="s">
        <v>6</v>
      </c>
      <c r="E3" s="12"/>
      <c r="F3" s="12"/>
      <c r="G3" s="12"/>
      <c r="H3" s="12"/>
      <c r="I3" s="12"/>
      <c r="J3" s="13" t="s">
        <v>7</v>
      </c>
      <c r="K3" s="13"/>
      <c r="L3" s="13"/>
      <c r="M3" s="14" t="s">
        <v>8</v>
      </c>
      <c r="N3" s="14"/>
      <c r="O3" s="14"/>
      <c r="P3" s="15" t="s">
        <v>9</v>
      </c>
    </row>
    <row r="4" s="4" customFormat="true" ht="27.75" hidden="false" customHeight="true" outlineLevel="0" collapsed="false">
      <c r="A4" s="11" t="s">
        <v>10</v>
      </c>
      <c r="B4" s="11"/>
      <c r="C4" s="11"/>
      <c r="D4" s="16" t="s">
        <v>11</v>
      </c>
      <c r="E4" s="16"/>
      <c r="F4" s="16"/>
      <c r="G4" s="16"/>
      <c r="H4" s="16"/>
      <c r="I4" s="16"/>
      <c r="J4" s="13" t="s">
        <v>12</v>
      </c>
      <c r="K4" s="13"/>
      <c r="L4" s="13"/>
      <c r="M4" s="14" t="s">
        <v>8</v>
      </c>
      <c r="N4" s="14"/>
      <c r="O4" s="14"/>
      <c r="P4" s="15" t="s">
        <v>9</v>
      </c>
    </row>
    <row r="5" s="4" customFormat="true" ht="27.75" hidden="false" customHeight="true" outlineLevel="0" collapsed="false">
      <c r="A5" s="17" t="s">
        <v>13</v>
      </c>
      <c r="B5" s="17"/>
      <c r="C5" s="17"/>
      <c r="D5" s="18" t="s">
        <v>14</v>
      </c>
      <c r="E5" s="18"/>
      <c r="F5" s="18"/>
      <c r="G5" s="18"/>
      <c r="H5" s="18"/>
      <c r="I5" s="18"/>
      <c r="J5" s="19" t="s">
        <v>15</v>
      </c>
      <c r="K5" s="19"/>
      <c r="L5" s="19"/>
      <c r="M5" s="20" t="s">
        <v>16</v>
      </c>
      <c r="N5" s="20"/>
      <c r="O5" s="20"/>
      <c r="P5" s="21" t="s">
        <v>17</v>
      </c>
    </row>
    <row r="6" s="4" customFormat="true" ht="3.75" hidden="false" customHeight="true" outlineLevel="0" collapsed="false">
      <c r="A6" s="22"/>
      <c r="B6" s="22"/>
      <c r="C6" s="22"/>
      <c r="D6" s="22"/>
      <c r="E6" s="22"/>
      <c r="F6" s="22"/>
      <c r="G6" s="23"/>
      <c r="H6" s="24"/>
      <c r="I6" s="24"/>
      <c r="J6" s="24"/>
      <c r="K6" s="24"/>
      <c r="L6" s="24"/>
      <c r="M6" s="25"/>
      <c r="N6" s="25"/>
      <c r="O6" s="25"/>
      <c r="P6" s="25"/>
    </row>
    <row r="7" s="4" customFormat="true" ht="15" hidden="false" customHeight="true" outlineLevel="0" collapsed="false">
      <c r="A7" s="26" t="s">
        <v>18</v>
      </c>
      <c r="B7" s="26"/>
      <c r="C7" s="26"/>
      <c r="D7" s="22"/>
      <c r="E7" s="22"/>
      <c r="F7" s="22"/>
      <c r="G7" s="23"/>
      <c r="H7" s="24"/>
      <c r="I7" s="24"/>
      <c r="J7" s="24"/>
      <c r="K7" s="24"/>
      <c r="L7" s="24"/>
      <c r="M7" s="25"/>
      <c r="N7" s="25"/>
      <c r="O7" s="25"/>
      <c r="P7" s="25"/>
    </row>
    <row r="8" s="4" customFormat="true" ht="20.25" hidden="false" customHeight="true" outlineLevel="0" collapsed="false">
      <c r="A8" s="27" t="s">
        <v>19</v>
      </c>
      <c r="B8" s="27"/>
      <c r="C8" s="27"/>
      <c r="D8" s="28" t="s">
        <v>20</v>
      </c>
      <c r="E8" s="28"/>
      <c r="F8" s="28"/>
      <c r="G8" s="28"/>
      <c r="H8" s="28"/>
      <c r="I8" s="28"/>
      <c r="J8" s="28"/>
      <c r="K8" s="28"/>
      <c r="L8" s="29" t="s">
        <v>21</v>
      </c>
      <c r="M8" s="29" t="s">
        <v>22</v>
      </c>
      <c r="N8" s="29"/>
      <c r="O8" s="30" t="s">
        <v>23</v>
      </c>
      <c r="P8" s="30"/>
    </row>
    <row r="9" s="4" customFormat="true" ht="49.5" hidden="false" customHeight="true" outlineLevel="0" collapsed="false">
      <c r="A9" s="31"/>
      <c r="B9" s="32" t="s">
        <v>24</v>
      </c>
      <c r="C9" s="32"/>
      <c r="D9" s="33" t="s">
        <v>25</v>
      </c>
      <c r="E9" s="33"/>
      <c r="F9" s="33"/>
      <c r="G9" s="33"/>
      <c r="H9" s="33"/>
      <c r="I9" s="33"/>
      <c r="J9" s="33"/>
      <c r="K9" s="33"/>
      <c r="L9" s="34" t="s">
        <v>26</v>
      </c>
      <c r="M9" s="35"/>
      <c r="N9" s="35"/>
      <c r="O9" s="36"/>
      <c r="P9" s="36"/>
    </row>
    <row r="10" s="4" customFormat="true" ht="20.25" hidden="false" customHeight="true" outlineLevel="0" collapsed="false">
      <c r="A10" s="31"/>
      <c r="B10" s="32"/>
      <c r="C10" s="32"/>
      <c r="D10" s="37" t="s">
        <v>27</v>
      </c>
      <c r="E10" s="37"/>
      <c r="F10" s="38" t="s">
        <v>28</v>
      </c>
      <c r="G10" s="38"/>
      <c r="H10" s="38"/>
      <c r="I10" s="38"/>
      <c r="J10" s="38"/>
      <c r="K10" s="38"/>
      <c r="L10" s="34"/>
      <c r="M10" s="35"/>
      <c r="N10" s="35"/>
      <c r="O10" s="36"/>
      <c r="P10" s="36"/>
    </row>
    <row r="11" s="4" customFormat="true" ht="20.25" hidden="false" customHeight="true" outlineLevel="0" collapsed="false">
      <c r="A11" s="31"/>
      <c r="B11" s="32"/>
      <c r="C11" s="32"/>
      <c r="D11" s="39" t="s">
        <v>29</v>
      </c>
      <c r="E11" s="39"/>
      <c r="F11" s="40"/>
      <c r="G11" s="40"/>
      <c r="H11" s="40"/>
      <c r="I11" s="40"/>
      <c r="J11" s="40"/>
      <c r="K11" s="40"/>
      <c r="L11" s="34"/>
      <c r="M11" s="35"/>
      <c r="N11" s="35"/>
      <c r="O11" s="36"/>
      <c r="P11" s="36"/>
    </row>
    <row r="12" s="4" customFormat="true" ht="48.75" hidden="false" customHeight="true" outlineLevel="0" collapsed="false">
      <c r="A12" s="31"/>
      <c r="B12" s="32" t="s">
        <v>30</v>
      </c>
      <c r="C12" s="32"/>
      <c r="D12" s="41" t="s">
        <v>31</v>
      </c>
      <c r="E12" s="41"/>
      <c r="F12" s="41"/>
      <c r="G12" s="41"/>
      <c r="H12" s="41"/>
      <c r="I12" s="41"/>
      <c r="J12" s="41"/>
      <c r="K12" s="41"/>
      <c r="L12" s="34" t="s">
        <v>26</v>
      </c>
      <c r="M12" s="35"/>
      <c r="N12" s="35"/>
      <c r="O12" s="36"/>
      <c r="P12" s="36"/>
    </row>
    <row r="13" customFormat="false" ht="49.5" hidden="false" customHeight="true" outlineLevel="0" collapsed="false">
      <c r="A13" s="31"/>
      <c r="B13" s="32" t="s">
        <v>32</v>
      </c>
      <c r="C13" s="32"/>
      <c r="D13" s="41" t="s">
        <v>33</v>
      </c>
      <c r="E13" s="41"/>
      <c r="F13" s="41"/>
      <c r="G13" s="41"/>
      <c r="H13" s="41"/>
      <c r="I13" s="41"/>
      <c r="J13" s="41"/>
      <c r="K13" s="41"/>
      <c r="L13" s="34" t="s">
        <v>26</v>
      </c>
      <c r="M13" s="35"/>
      <c r="N13" s="35"/>
      <c r="O13" s="36"/>
      <c r="P13" s="36"/>
    </row>
    <row r="14" customFormat="false" ht="49.5" hidden="false" customHeight="true" outlineLevel="0" collapsed="false">
      <c r="A14" s="31"/>
      <c r="B14" s="32" t="s">
        <v>34</v>
      </c>
      <c r="C14" s="32"/>
      <c r="D14" s="41" t="s">
        <v>33</v>
      </c>
      <c r="E14" s="41"/>
      <c r="F14" s="41"/>
      <c r="G14" s="41"/>
      <c r="H14" s="41"/>
      <c r="I14" s="41"/>
      <c r="J14" s="41"/>
      <c r="K14" s="41"/>
      <c r="L14" s="34" t="s">
        <v>26</v>
      </c>
      <c r="M14" s="35"/>
      <c r="N14" s="35"/>
      <c r="O14" s="36"/>
      <c r="P14" s="36"/>
    </row>
    <row r="15" customFormat="false" ht="49.5" hidden="false" customHeight="true" outlineLevel="0" collapsed="false">
      <c r="A15" s="31"/>
      <c r="B15" s="32" t="s">
        <v>35</v>
      </c>
      <c r="C15" s="32"/>
      <c r="D15" s="41" t="s">
        <v>33</v>
      </c>
      <c r="E15" s="41"/>
      <c r="F15" s="41"/>
      <c r="G15" s="41"/>
      <c r="H15" s="41"/>
      <c r="I15" s="41"/>
      <c r="J15" s="41"/>
      <c r="K15" s="41"/>
      <c r="L15" s="34" t="s">
        <v>26</v>
      </c>
      <c r="M15" s="35"/>
      <c r="N15" s="35"/>
      <c r="O15" s="36"/>
      <c r="P15" s="36"/>
    </row>
    <row r="16" customFormat="false" ht="48.75" hidden="false" customHeight="true" outlineLevel="0" collapsed="false">
      <c r="A16" s="42" t="s">
        <v>36</v>
      </c>
      <c r="B16" s="32" t="s">
        <v>37</v>
      </c>
      <c r="C16" s="32"/>
      <c r="D16" s="33" t="s">
        <v>38</v>
      </c>
      <c r="E16" s="33"/>
      <c r="F16" s="33"/>
      <c r="G16" s="33"/>
      <c r="H16" s="33"/>
      <c r="I16" s="33"/>
      <c r="J16" s="33"/>
      <c r="K16" s="33"/>
      <c r="L16" s="34" t="s">
        <v>26</v>
      </c>
      <c r="M16" s="35"/>
      <c r="N16" s="35"/>
      <c r="O16" s="36"/>
      <c r="P16" s="36"/>
    </row>
    <row r="17" customFormat="false" ht="49.5" hidden="false" customHeight="true" outlineLevel="0" collapsed="false">
      <c r="A17" s="42" t="s">
        <v>39</v>
      </c>
      <c r="B17" s="43" t="s">
        <v>40</v>
      </c>
      <c r="C17" s="43"/>
      <c r="D17" s="44" t="s">
        <v>41</v>
      </c>
      <c r="E17" s="44"/>
      <c r="F17" s="44"/>
      <c r="G17" s="44"/>
      <c r="H17" s="44"/>
      <c r="I17" s="44"/>
      <c r="J17" s="44"/>
      <c r="K17" s="44"/>
      <c r="L17" s="45" t="s">
        <v>26</v>
      </c>
      <c r="M17" s="35"/>
      <c r="N17" s="35"/>
      <c r="O17" s="36"/>
      <c r="P17" s="36"/>
    </row>
    <row r="18" customFormat="false" ht="30" hidden="false" customHeight="true" outlineLevel="0" collapsed="false">
      <c r="A18" s="42" t="s">
        <v>39</v>
      </c>
      <c r="B18" s="46" t="s">
        <v>42</v>
      </c>
      <c r="C18" s="46"/>
      <c r="D18" s="47" t="s">
        <v>43</v>
      </c>
      <c r="E18" s="47"/>
      <c r="F18" s="47"/>
      <c r="G18" s="47"/>
      <c r="H18" s="47"/>
      <c r="I18" s="47"/>
      <c r="J18" s="47"/>
      <c r="K18" s="47"/>
      <c r="L18" s="48" t="s">
        <v>26</v>
      </c>
      <c r="M18" s="49"/>
      <c r="N18" s="49"/>
      <c r="O18" s="50"/>
      <c r="P18" s="50"/>
    </row>
    <row r="19" customFormat="false" ht="48.75" hidden="false" customHeight="true" outlineLevel="0" collapsed="false">
      <c r="A19" s="51" t="s">
        <v>44</v>
      </c>
      <c r="B19" s="51"/>
      <c r="C19" s="51"/>
      <c r="D19" s="52" t="s">
        <v>45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</sheetData>
  <mergeCells count="63">
    <mergeCell ref="A1:P1"/>
    <mergeCell ref="A2:C2"/>
    <mergeCell ref="D2:I2"/>
    <mergeCell ref="J2:L2"/>
    <mergeCell ref="M2:P2"/>
    <mergeCell ref="A3:C3"/>
    <mergeCell ref="D3:I3"/>
    <mergeCell ref="J3:L3"/>
    <mergeCell ref="M3:O3"/>
    <mergeCell ref="A4:C4"/>
    <mergeCell ref="D4:I4"/>
    <mergeCell ref="J4:L4"/>
    <mergeCell ref="M4:O4"/>
    <mergeCell ref="A5:C5"/>
    <mergeCell ref="D5:I5"/>
    <mergeCell ref="J5:L5"/>
    <mergeCell ref="M5:O5"/>
    <mergeCell ref="A7:C7"/>
    <mergeCell ref="A8:C8"/>
    <mergeCell ref="D8:K8"/>
    <mergeCell ref="M8:N8"/>
    <mergeCell ref="O8:P8"/>
    <mergeCell ref="A9:A11"/>
    <mergeCell ref="B9:C11"/>
    <mergeCell ref="D9:K9"/>
    <mergeCell ref="L9:L11"/>
    <mergeCell ref="M9:N11"/>
    <mergeCell ref="O9:P11"/>
    <mergeCell ref="D10:E10"/>
    <mergeCell ref="F10:K10"/>
    <mergeCell ref="D11:E11"/>
    <mergeCell ref="F11:K11"/>
    <mergeCell ref="B12:C12"/>
    <mergeCell ref="D12:K12"/>
    <mergeCell ref="M12:N12"/>
    <mergeCell ref="O12:P12"/>
    <mergeCell ref="B13:C13"/>
    <mergeCell ref="D13:K13"/>
    <mergeCell ref="M13:N13"/>
    <mergeCell ref="O13:P13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A17:A18"/>
    <mergeCell ref="B17:C17"/>
    <mergeCell ref="D17:K17"/>
    <mergeCell ref="M17:N17"/>
    <mergeCell ref="O17:P17"/>
    <mergeCell ref="B18:C18"/>
    <mergeCell ref="D18:K18"/>
    <mergeCell ref="M18:N18"/>
    <mergeCell ref="O18:P18"/>
    <mergeCell ref="A19:C19"/>
    <mergeCell ref="D19:P19"/>
  </mergeCells>
  <printOptions headings="false" gridLines="false" gridLinesSet="true" horizontalCentered="true" verticalCentered="false"/>
  <pageMargins left="0.157638888888889" right="0.157638888888889" top="0.595833333333333" bottom="0.551388888888889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&amp;RCOSMAX NBT, INC.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3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F12" activeCellId="0" sqref="AF12"/>
    </sheetView>
  </sheetViews>
  <sheetFormatPr defaultColWidth="8.796875" defaultRowHeight="17.25" zeroHeight="false" outlineLevelRow="0" outlineLevelCol="0"/>
  <cols>
    <col collapsed="false" customWidth="true" hidden="false" outlineLevel="0" max="2" min="1" style="5" width="3.7"/>
    <col collapsed="false" customWidth="true" hidden="false" outlineLevel="0" max="3" min="3" style="5" width="4.5"/>
    <col collapsed="false" customWidth="true" hidden="false" outlineLevel="0" max="7" min="4" style="5" width="4"/>
    <col collapsed="false" customWidth="true" hidden="false" outlineLevel="0" max="8" min="8" style="5" width="4.39"/>
    <col collapsed="false" customWidth="true" hidden="false" outlineLevel="0" max="12" min="9" style="5" width="4"/>
    <col collapsed="false" customWidth="true" hidden="false" outlineLevel="0" max="13" min="13" style="5" width="4.2"/>
    <col collapsed="false" customWidth="true" hidden="false" outlineLevel="0" max="21" min="14" style="5" width="4"/>
    <col collapsed="false" customWidth="true" hidden="false" outlineLevel="0" max="22" min="22" style="5" width="3.7"/>
    <col collapsed="false" customWidth="true" hidden="false" outlineLevel="0" max="23" min="23" style="5" width="3.9"/>
    <col collapsed="false" customWidth="true" hidden="false" outlineLevel="0" max="24" min="24" style="5" width="3.5"/>
    <col collapsed="false" customWidth="true" hidden="false" outlineLevel="0" max="48" min="25" style="5" width="4.7"/>
    <col collapsed="false" customWidth="true" hidden="false" outlineLevel="0" max="49" min="49" style="5" width="3.4"/>
    <col collapsed="false" customWidth="true" hidden="false" outlineLevel="0" max="50" min="50" style="5" width="4"/>
    <col collapsed="false" customWidth="false" hidden="false" outlineLevel="0" max="16384" min="51" style="5" width="8.79"/>
  </cols>
  <sheetData>
    <row r="1" s="54" customFormat="true" ht="54" hidden="false" customHeight="true" outlineLevel="0" collapsed="false">
      <c r="A1" s="53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s="54" customFormat="true" ht="24" hidden="false" customHeight="true" outlineLevel="0" collapsed="false">
      <c r="A2" s="55" t="s">
        <v>47</v>
      </c>
      <c r="B2" s="55"/>
      <c r="C2" s="55"/>
      <c r="D2" s="55"/>
      <c r="E2" s="56" t="s">
        <v>2</v>
      </c>
      <c r="F2" s="56"/>
      <c r="G2" s="56"/>
      <c r="H2" s="56"/>
      <c r="I2" s="56"/>
      <c r="J2" s="56"/>
      <c r="K2" s="56"/>
      <c r="L2" s="56" t="s">
        <v>48</v>
      </c>
      <c r="M2" s="56"/>
      <c r="N2" s="56"/>
      <c r="O2" s="56"/>
      <c r="P2" s="56"/>
      <c r="Q2" s="57" t="str">
        <f aca="false">U3*Q3/1000</f>
        <v>150,000.000</v>
      </c>
      <c r="R2" s="57"/>
      <c r="S2" s="57"/>
      <c r="T2" s="57"/>
      <c r="U2" s="57"/>
      <c r="V2" s="57"/>
      <c r="W2" s="57"/>
      <c r="X2" s="58" t="s">
        <v>49</v>
      </c>
    </row>
    <row r="3" s="54" customFormat="true" ht="24" hidden="false" customHeight="true" outlineLevel="0" collapsed="false">
      <c r="A3" s="55"/>
      <c r="B3" s="55"/>
      <c r="C3" s="55"/>
      <c r="D3" s="55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9" t="s">
        <v>50</v>
      </c>
      <c r="R3" s="59"/>
      <c r="S3" s="60" t="s">
        <v>51</v>
      </c>
      <c r="T3" s="60"/>
      <c r="U3" s="61" t="str">
        <f aca="false">E9*2*60</f>
        <v>30,000</v>
      </c>
      <c r="V3" s="61"/>
      <c r="W3" s="61"/>
      <c r="X3" s="62" t="s">
        <v>52</v>
      </c>
    </row>
    <row r="4" s="54" customFormat="true" ht="41.25" hidden="false" customHeight="true" outlineLevel="0" collapsed="false">
      <c r="A4" s="63" t="s">
        <v>53</v>
      </c>
      <c r="B4" s="63"/>
      <c r="C4" s="63"/>
      <c r="D4" s="63"/>
      <c r="E4" s="64" t="s">
        <v>54</v>
      </c>
      <c r="F4" s="64"/>
      <c r="G4" s="64"/>
      <c r="H4" s="64"/>
      <c r="I4" s="64"/>
      <c r="J4" s="64"/>
      <c r="K4" s="64"/>
      <c r="L4" s="64" t="s">
        <v>55</v>
      </c>
      <c r="M4" s="64"/>
      <c r="N4" s="64"/>
      <c r="O4" s="64"/>
      <c r="P4" s="64"/>
      <c r="Q4" s="65" t="s">
        <v>56</v>
      </c>
      <c r="R4" s="65"/>
      <c r="S4" s="65"/>
      <c r="T4" s="65"/>
      <c r="U4" s="65"/>
      <c r="V4" s="65"/>
      <c r="W4" s="65"/>
      <c r="X4" s="65"/>
    </row>
    <row r="5" s="54" customFormat="true" ht="22.5" hidden="false" customHeight="true" outlineLevel="0" collapsed="false">
      <c r="A5" s="63" t="s">
        <v>57</v>
      </c>
      <c r="B5" s="63"/>
      <c r="C5" s="63"/>
      <c r="D5" s="63"/>
      <c r="E5" s="66" t="s">
        <v>58</v>
      </c>
      <c r="F5" s="66"/>
      <c r="G5" s="66"/>
      <c r="H5" s="66"/>
      <c r="I5" s="66"/>
      <c r="J5" s="66"/>
      <c r="K5" s="66"/>
      <c r="L5" s="67" t="s">
        <v>59</v>
      </c>
      <c r="M5" s="67"/>
      <c r="N5" s="67"/>
      <c r="O5" s="67"/>
      <c r="P5" s="67"/>
      <c r="Q5" s="65" t="s">
        <v>6</v>
      </c>
      <c r="R5" s="65"/>
      <c r="S5" s="65"/>
      <c r="T5" s="65"/>
      <c r="U5" s="65"/>
      <c r="V5" s="65"/>
      <c r="W5" s="65"/>
      <c r="X5" s="65"/>
    </row>
    <row r="6" s="54" customFormat="true" ht="19.5" hidden="false" customHeight="true" outlineLevel="0" collapsed="false">
      <c r="A6" s="63"/>
      <c r="B6" s="63"/>
      <c r="C6" s="63"/>
      <c r="D6" s="63"/>
      <c r="E6" s="68" t="s">
        <v>60</v>
      </c>
      <c r="F6" s="68"/>
      <c r="G6" s="68"/>
      <c r="H6" s="68"/>
      <c r="I6" s="69"/>
      <c r="J6" s="69"/>
      <c r="K6" s="69"/>
      <c r="L6" s="67"/>
      <c r="M6" s="67"/>
      <c r="N6" s="67"/>
      <c r="O6" s="67"/>
      <c r="P6" s="67"/>
      <c r="Q6" s="65"/>
      <c r="R6" s="65"/>
      <c r="S6" s="65"/>
      <c r="T6" s="65"/>
      <c r="U6" s="65"/>
      <c r="V6" s="65"/>
      <c r="W6" s="65"/>
      <c r="X6" s="65"/>
    </row>
    <row r="7" s="54" customFormat="true" ht="24" hidden="false" customHeight="true" outlineLevel="0" collapsed="false">
      <c r="A7" s="63" t="s">
        <v>61</v>
      </c>
      <c r="B7" s="63"/>
      <c r="C7" s="63"/>
      <c r="D7" s="63"/>
      <c r="E7" s="70" t="s">
        <v>62</v>
      </c>
      <c r="F7" s="70"/>
      <c r="G7" s="70"/>
      <c r="H7" s="70"/>
      <c r="I7" s="70"/>
      <c r="J7" s="70"/>
      <c r="K7" s="70"/>
      <c r="L7" s="64" t="s">
        <v>63</v>
      </c>
      <c r="M7" s="64"/>
      <c r="N7" s="64"/>
      <c r="O7" s="64"/>
      <c r="P7" s="64"/>
      <c r="Q7" s="71" t="s">
        <v>64</v>
      </c>
      <c r="R7" s="71"/>
      <c r="S7" s="71"/>
      <c r="T7" s="71"/>
      <c r="U7" s="71"/>
      <c r="V7" s="71"/>
      <c r="W7" s="71"/>
      <c r="X7" s="71"/>
    </row>
    <row r="8" s="54" customFormat="true" ht="18.75" hidden="false" customHeight="true" outlineLevel="0" collapsed="false">
      <c r="A8" s="63"/>
      <c r="B8" s="63"/>
      <c r="C8" s="63"/>
      <c r="D8" s="63"/>
      <c r="E8" s="70"/>
      <c r="F8" s="70"/>
      <c r="G8" s="70"/>
      <c r="H8" s="70"/>
      <c r="I8" s="70"/>
      <c r="J8" s="70"/>
      <c r="K8" s="70"/>
      <c r="L8" s="64"/>
      <c r="M8" s="64"/>
      <c r="N8" s="64"/>
      <c r="O8" s="64"/>
      <c r="P8" s="64"/>
      <c r="Q8" s="72" t="s">
        <v>65</v>
      </c>
      <c r="R8" s="72"/>
      <c r="S8" s="72"/>
      <c r="T8" s="73"/>
      <c r="U8" s="73"/>
      <c r="V8" s="73"/>
      <c r="W8" s="73"/>
      <c r="X8" s="73"/>
    </row>
    <row r="9" s="54" customFormat="true" ht="41.25" hidden="false" customHeight="true" outlineLevel="0" collapsed="false">
      <c r="A9" s="74" t="s">
        <v>66</v>
      </c>
      <c r="B9" s="74"/>
      <c r="C9" s="74"/>
      <c r="D9" s="74"/>
      <c r="E9" s="75" t="s">
        <v>8</v>
      </c>
      <c r="F9" s="75"/>
      <c r="G9" s="75"/>
      <c r="H9" s="75"/>
      <c r="I9" s="75"/>
      <c r="J9" s="76" t="s">
        <v>67</v>
      </c>
      <c r="K9" s="76"/>
      <c r="L9" s="77" t="s">
        <v>68</v>
      </c>
      <c r="M9" s="77"/>
      <c r="N9" s="77"/>
      <c r="O9" s="77"/>
      <c r="P9" s="77"/>
      <c r="Q9" s="78" t="s">
        <v>11</v>
      </c>
      <c r="R9" s="78"/>
      <c r="S9" s="78"/>
      <c r="T9" s="78"/>
      <c r="U9" s="78"/>
      <c r="V9" s="78"/>
      <c r="W9" s="78"/>
      <c r="X9" s="78"/>
    </row>
    <row r="10" s="54" customFormat="true" ht="21.75" hidden="false" customHeight="true" outlineLevel="0" collapsed="false">
      <c r="A10" s="79"/>
      <c r="B10" s="79"/>
      <c r="C10" s="79"/>
      <c r="D10" s="79"/>
      <c r="E10" s="79"/>
      <c r="F10" s="79"/>
      <c r="G10" s="80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80"/>
      <c r="S10" s="79"/>
      <c r="T10" s="79"/>
      <c r="U10" s="81"/>
      <c r="V10" s="81"/>
      <c r="W10" s="81"/>
      <c r="X10" s="79"/>
    </row>
    <row r="11" s="54" customFormat="true" ht="19.5" hidden="false" customHeight="true" outlineLevel="0" collapsed="false">
      <c r="A11" s="82" t="s">
        <v>69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</row>
    <row r="12" s="54" customFormat="true" ht="144" hidden="false" customHeight="true" outlineLevel="0" collapsed="false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</row>
    <row r="13" s="54" customFormat="true" ht="30.75" hidden="false" customHeight="true" outlineLevel="0" collapsed="false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="54" customFormat="true" ht="16.5" hidden="false" customHeight="true" outlineLevel="0" collapsed="false">
      <c r="A14" s="82" t="s">
        <v>70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</row>
    <row r="15" s="54" customFormat="true" ht="17.25" hidden="false" customHeight="false" outlineLevel="0" collapsed="false">
      <c r="A15" s="85" t="s">
        <v>71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</row>
    <row r="16" s="86" customFormat="true" ht="19.5" hidden="false" customHeight="true" outlineLevel="0" collapsed="false">
      <c r="A16" s="85" t="s">
        <v>72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</row>
    <row r="17" s="86" customFormat="true" ht="34.5" hidden="false" customHeight="true" outlineLevel="0" collapsed="false">
      <c r="A17" s="79" t="s">
        <v>73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</row>
    <row r="18" s="86" customFormat="true" ht="69" hidden="false" customHeight="true" outlineLevel="0" collapsed="false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</row>
    <row r="19" s="89" customFormat="true" ht="28.5" hidden="false" customHeight="true" outlineLevel="0" collapsed="false">
      <c r="A19" s="79"/>
      <c r="B19" s="79"/>
      <c r="C19" s="79"/>
      <c r="D19" s="79"/>
      <c r="E19" s="79"/>
      <c r="F19" s="87" t="s">
        <v>74</v>
      </c>
      <c r="G19" s="87"/>
      <c r="H19" s="87"/>
      <c r="I19" s="87"/>
      <c r="J19" s="88" t="s">
        <v>75</v>
      </c>
      <c r="K19" s="88"/>
      <c r="L19" s="88"/>
      <c r="M19" s="88"/>
      <c r="N19" s="88"/>
      <c r="O19" s="88" t="s">
        <v>76</v>
      </c>
      <c r="P19" s="88"/>
      <c r="Q19" s="88"/>
      <c r="R19" s="88"/>
      <c r="S19" s="88"/>
      <c r="T19" s="88" t="s">
        <v>77</v>
      </c>
      <c r="U19" s="88"/>
      <c r="V19" s="88"/>
      <c r="W19" s="88"/>
      <c r="X19" s="88"/>
    </row>
    <row r="20" s="89" customFormat="true" ht="27" hidden="false" customHeight="true" outlineLevel="0" collapsed="false">
      <c r="A20" s="79"/>
      <c r="B20" s="79"/>
      <c r="C20" s="79"/>
      <c r="D20" s="79"/>
      <c r="E20" s="79"/>
      <c r="F20" s="87"/>
      <c r="G20" s="87"/>
      <c r="H20" s="87"/>
      <c r="I20" s="87"/>
      <c r="J20" s="90"/>
      <c r="K20" s="90"/>
      <c r="L20" s="90"/>
      <c r="M20" s="90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</row>
    <row r="21" s="89" customFormat="true" ht="13.5" hidden="false" customHeight="true" outlineLevel="0" collapsed="false">
      <c r="A21" s="79"/>
      <c r="B21" s="79"/>
      <c r="C21" s="79"/>
      <c r="D21" s="79"/>
      <c r="E21" s="79"/>
      <c r="F21" s="87"/>
      <c r="G21" s="87"/>
      <c r="H21" s="87"/>
      <c r="I21" s="87"/>
      <c r="J21" s="92" t="s">
        <v>78</v>
      </c>
      <c r="K21" s="92"/>
      <c r="L21" s="92"/>
      <c r="M21" s="92"/>
      <c r="N21" s="92"/>
      <c r="O21" s="92" t="s">
        <v>78</v>
      </c>
      <c r="P21" s="92"/>
      <c r="Q21" s="92"/>
      <c r="R21" s="92"/>
      <c r="S21" s="92"/>
      <c r="T21" s="92" t="s">
        <v>78</v>
      </c>
      <c r="U21" s="92"/>
      <c r="V21" s="92"/>
      <c r="W21" s="92"/>
      <c r="X21" s="92"/>
    </row>
    <row r="22" s="89" customFormat="true" ht="28.5" hidden="false" customHeight="true" outlineLevel="0" collapsed="false">
      <c r="A22" s="79"/>
      <c r="B22" s="79"/>
      <c r="C22" s="79"/>
      <c r="D22" s="79"/>
      <c r="E22" s="79"/>
      <c r="F22" s="87" t="s">
        <v>79</v>
      </c>
      <c r="G22" s="87"/>
      <c r="H22" s="87"/>
      <c r="I22" s="87"/>
      <c r="J22" s="88" t="s">
        <v>80</v>
      </c>
      <c r="K22" s="88"/>
      <c r="L22" s="88"/>
      <c r="M22" s="88"/>
      <c r="N22" s="88"/>
      <c r="O22" s="88" t="s">
        <v>77</v>
      </c>
      <c r="P22" s="88"/>
      <c r="Q22" s="88"/>
      <c r="R22" s="88"/>
      <c r="S22" s="88"/>
      <c r="T22" s="88" t="s">
        <v>81</v>
      </c>
      <c r="U22" s="88"/>
      <c r="V22" s="88"/>
      <c r="W22" s="88"/>
      <c r="X22" s="88"/>
    </row>
    <row r="23" s="93" customFormat="true" ht="27" hidden="false" customHeight="true" outlineLevel="0" collapsed="false">
      <c r="A23" s="79"/>
      <c r="B23" s="79"/>
      <c r="C23" s="79"/>
      <c r="D23" s="79"/>
      <c r="E23" s="79"/>
      <c r="F23" s="87"/>
      <c r="G23" s="87"/>
      <c r="H23" s="87"/>
      <c r="I23" s="87"/>
      <c r="J23" s="90"/>
      <c r="K23" s="90"/>
      <c r="L23" s="90"/>
      <c r="M23" s="90"/>
      <c r="N23" s="90"/>
      <c r="O23" s="91"/>
      <c r="P23" s="91"/>
      <c r="Q23" s="91"/>
      <c r="R23" s="91"/>
      <c r="S23" s="91"/>
      <c r="T23" s="90"/>
      <c r="U23" s="90"/>
      <c r="V23" s="90"/>
      <c r="W23" s="90"/>
      <c r="X23" s="90"/>
    </row>
    <row r="24" s="93" customFormat="true" ht="17.25" hidden="false" customHeight="false" outlineLevel="0" collapsed="false">
      <c r="A24" s="79"/>
      <c r="B24" s="79"/>
      <c r="C24" s="79"/>
      <c r="D24" s="79"/>
      <c r="E24" s="79"/>
      <c r="F24" s="87"/>
      <c r="G24" s="87"/>
      <c r="H24" s="87"/>
      <c r="I24" s="87"/>
      <c r="J24" s="92" t="s">
        <v>78</v>
      </c>
      <c r="K24" s="92"/>
      <c r="L24" s="92"/>
      <c r="M24" s="92"/>
      <c r="N24" s="92"/>
      <c r="O24" s="92" t="s">
        <v>78</v>
      </c>
      <c r="P24" s="92"/>
      <c r="Q24" s="92"/>
      <c r="R24" s="92"/>
      <c r="S24" s="92"/>
      <c r="T24" s="92" t="s">
        <v>78</v>
      </c>
      <c r="U24" s="92"/>
      <c r="V24" s="92"/>
      <c r="W24" s="92"/>
      <c r="X24" s="92"/>
    </row>
    <row r="25" customFormat="false" ht="21.75" hidden="false" customHeight="true" outlineLevel="0" collapsed="false">
      <c r="A25" s="94" t="s">
        <v>82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</row>
    <row r="26" customFormat="false" ht="32.25" hidden="false" customHeight="true" outlineLevel="0" collapsed="false">
      <c r="A26" s="96" t="s">
        <v>83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7" t="s">
        <v>84</v>
      </c>
      <c r="O26" s="97"/>
      <c r="P26" s="97"/>
      <c r="Q26" s="97"/>
      <c r="R26" s="97"/>
      <c r="S26" s="97"/>
      <c r="T26" s="97"/>
      <c r="U26" s="97"/>
      <c r="V26" s="97"/>
      <c r="W26" s="97"/>
      <c r="X26" s="97"/>
    </row>
    <row r="27" customFormat="false" ht="22.5" hidden="false" customHeight="true" outlineLevel="0" collapsed="false">
      <c r="A27" s="98" t="s">
        <v>85</v>
      </c>
      <c r="B27" s="98"/>
      <c r="C27" s="98"/>
      <c r="D27" s="98"/>
      <c r="E27" s="99" t="s">
        <v>2</v>
      </c>
      <c r="F27" s="99"/>
      <c r="G27" s="99"/>
      <c r="H27" s="99"/>
      <c r="I27" s="99"/>
      <c r="J27" s="99"/>
      <c r="K27" s="99"/>
      <c r="L27" s="100" t="s">
        <v>86</v>
      </c>
      <c r="M27" s="100"/>
      <c r="N27" s="100"/>
      <c r="O27" s="100"/>
      <c r="P27" s="100"/>
      <c r="Q27" s="101" t="s">
        <v>87</v>
      </c>
      <c r="R27" s="101"/>
      <c r="S27" s="101"/>
      <c r="T27" s="101"/>
      <c r="U27" s="101"/>
      <c r="V27" s="101"/>
      <c r="W27" s="101"/>
      <c r="X27" s="101"/>
    </row>
    <row r="28" customFormat="false" ht="22.5" hidden="false" customHeight="true" outlineLevel="0" collapsed="false">
      <c r="A28" s="102" t="s">
        <v>88</v>
      </c>
      <c r="B28" s="102"/>
      <c r="C28" s="102"/>
      <c r="D28" s="102"/>
      <c r="E28" s="103" t="s">
        <v>6</v>
      </c>
      <c r="F28" s="103"/>
      <c r="G28" s="103"/>
      <c r="H28" s="103"/>
      <c r="I28" s="103"/>
      <c r="J28" s="103"/>
      <c r="K28" s="103"/>
      <c r="L28" s="103" t="s">
        <v>89</v>
      </c>
      <c r="M28" s="103"/>
      <c r="N28" s="103"/>
      <c r="O28" s="103"/>
      <c r="P28" s="103"/>
      <c r="Q28" s="104" t="s">
        <v>90</v>
      </c>
      <c r="R28" s="104"/>
      <c r="S28" s="104"/>
      <c r="T28" s="105" t="s">
        <v>52</v>
      </c>
      <c r="U28" s="106" t="s">
        <v>91</v>
      </c>
      <c r="V28" s="106"/>
      <c r="W28" s="106"/>
      <c r="X28" s="107" t="s">
        <v>49</v>
      </c>
    </row>
    <row r="29" customFormat="false" ht="14.25" hidden="false" customHeight="true" outlineLevel="0" collapsed="false">
      <c r="A29" s="79"/>
      <c r="B29" s="79"/>
      <c r="C29" s="79"/>
      <c r="D29" s="79"/>
      <c r="E29" s="79"/>
      <c r="F29" s="79"/>
      <c r="G29" s="80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80"/>
      <c r="S29" s="79"/>
      <c r="T29" s="79"/>
      <c r="U29" s="81"/>
      <c r="V29" s="81"/>
      <c r="W29" s="81"/>
      <c r="X29" s="79"/>
    </row>
    <row r="30" customFormat="false" ht="15" hidden="false" customHeight="true" outlineLevel="0" collapsed="false">
      <c r="A30" s="108" t="s">
        <v>92</v>
      </c>
      <c r="B30" s="109"/>
      <c r="C30" s="110"/>
      <c r="D30" s="111"/>
      <c r="E30" s="111"/>
      <c r="F30" s="111"/>
      <c r="G30" s="112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4"/>
      <c r="V30" s="114"/>
      <c r="W30" s="114"/>
      <c r="X30" s="113"/>
    </row>
    <row r="31" customFormat="false" ht="24.75" hidden="false" customHeight="true" outlineLevel="0" collapsed="false">
      <c r="A31" s="115" t="s">
        <v>93</v>
      </c>
      <c r="B31" s="115"/>
      <c r="C31" s="115"/>
      <c r="D31" s="115"/>
      <c r="E31" s="116" t="s">
        <v>94</v>
      </c>
      <c r="F31" s="116"/>
      <c r="G31" s="116"/>
      <c r="H31" s="116"/>
      <c r="I31" s="117" t="s">
        <v>95</v>
      </c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</row>
    <row r="32" customFormat="false" ht="19.5" hidden="false" customHeight="true" outlineLevel="0" collapsed="false">
      <c r="A32" s="118" t="s">
        <v>96</v>
      </c>
      <c r="B32" s="118"/>
      <c r="C32" s="118"/>
      <c r="D32" s="118"/>
      <c r="E32" s="119" t="s">
        <v>97</v>
      </c>
      <c r="F32" s="119"/>
      <c r="G32" s="119"/>
      <c r="H32" s="119"/>
      <c r="I32" s="120" t="s">
        <v>98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</row>
    <row r="33" customFormat="false" ht="9.75" hidden="false" customHeight="true" outlineLevel="0" collapsed="false">
      <c r="A33" s="121"/>
      <c r="B33" s="121"/>
      <c r="C33" s="121"/>
      <c r="D33" s="121"/>
      <c r="E33" s="121"/>
      <c r="F33" s="121"/>
      <c r="G33" s="122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2"/>
      <c r="S33" s="121"/>
      <c r="T33" s="121"/>
      <c r="U33" s="123"/>
      <c r="V33" s="123"/>
      <c r="W33" s="123"/>
      <c r="X33" s="121"/>
    </row>
    <row r="34" customFormat="false" ht="21.75" hidden="false" customHeight="true" outlineLevel="0" collapsed="false">
      <c r="A34" s="124" t="s">
        <v>82</v>
      </c>
    </row>
    <row r="35" customFormat="false" ht="32.25" hidden="false" customHeight="true" outlineLevel="0" collapsed="false">
      <c r="A35" s="125" t="s">
        <v>99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6" t="s">
        <v>100</v>
      </c>
      <c r="O35" s="126"/>
      <c r="P35" s="126"/>
      <c r="Q35" s="126"/>
      <c r="R35" s="126"/>
      <c r="S35" s="126"/>
      <c r="T35" s="126"/>
      <c r="U35" s="126"/>
      <c r="V35" s="126"/>
      <c r="W35" s="126"/>
      <c r="X35" s="126"/>
    </row>
    <row r="36" customFormat="false" ht="22.5" hidden="false" customHeight="true" outlineLevel="0" collapsed="false">
      <c r="A36" s="127" t="s">
        <v>85</v>
      </c>
      <c r="B36" s="127"/>
      <c r="C36" s="127"/>
      <c r="D36" s="127"/>
      <c r="E36" s="128" t="s">
        <v>2</v>
      </c>
      <c r="F36" s="128"/>
      <c r="G36" s="128"/>
      <c r="H36" s="128"/>
      <c r="I36" s="128"/>
      <c r="J36" s="128"/>
      <c r="K36" s="128"/>
      <c r="L36" s="129" t="s">
        <v>86</v>
      </c>
      <c r="M36" s="129"/>
      <c r="N36" s="129"/>
      <c r="O36" s="129"/>
      <c r="P36" s="129"/>
      <c r="Q36" s="130" t="s">
        <v>87</v>
      </c>
      <c r="R36" s="130"/>
      <c r="S36" s="130"/>
      <c r="T36" s="130"/>
      <c r="U36" s="130"/>
      <c r="V36" s="130"/>
      <c r="W36" s="130"/>
      <c r="X36" s="130"/>
    </row>
    <row r="37" customFormat="false" ht="22.5" hidden="false" customHeight="true" outlineLevel="0" collapsed="false">
      <c r="A37" s="131" t="s">
        <v>88</v>
      </c>
      <c r="B37" s="131"/>
      <c r="C37" s="131"/>
      <c r="D37" s="131"/>
      <c r="E37" s="132" t="s">
        <v>6</v>
      </c>
      <c r="F37" s="132"/>
      <c r="G37" s="132"/>
      <c r="H37" s="132"/>
      <c r="I37" s="132"/>
      <c r="J37" s="132"/>
      <c r="K37" s="132"/>
      <c r="L37" s="132" t="s">
        <v>89</v>
      </c>
      <c r="M37" s="132"/>
      <c r="N37" s="132"/>
      <c r="O37" s="132"/>
      <c r="P37" s="132"/>
      <c r="Q37" s="133" t="s">
        <v>90</v>
      </c>
      <c r="R37" s="133"/>
      <c r="S37" s="133"/>
      <c r="T37" s="134" t="s">
        <v>52</v>
      </c>
      <c r="U37" s="135" t="s">
        <v>91</v>
      </c>
      <c r="V37" s="135"/>
      <c r="W37" s="135"/>
      <c r="X37" s="136" t="s">
        <v>49</v>
      </c>
    </row>
    <row r="38" customFormat="false" ht="14.25" hidden="false" customHeight="true" outlineLevel="0" collapsed="false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</row>
    <row r="39" customFormat="false" ht="15" hidden="false" customHeight="true" outlineLevel="0" collapsed="false">
      <c r="A39" s="139" t="s">
        <v>101</v>
      </c>
      <c r="B39" s="140"/>
      <c r="C39" s="140"/>
      <c r="D39" s="140"/>
      <c r="E39" s="141"/>
      <c r="F39" s="142"/>
      <c r="G39" s="137"/>
      <c r="H39" s="137"/>
      <c r="I39" s="137"/>
      <c r="J39" s="137"/>
      <c r="K39" s="137"/>
      <c r="L39" s="137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</row>
    <row r="40" customFormat="false" ht="39.75" hidden="false" customHeight="true" outlineLevel="0" collapsed="false">
      <c r="A40" s="143" t="s">
        <v>102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4" t="s">
        <v>103</v>
      </c>
      <c r="Q40" s="144"/>
      <c r="R40" s="144"/>
      <c r="S40" s="144"/>
      <c r="T40" s="144" t="s">
        <v>104</v>
      </c>
      <c r="U40" s="144"/>
      <c r="V40" s="144"/>
      <c r="W40" s="144"/>
      <c r="X40" s="144"/>
    </row>
    <row r="41" customFormat="false" ht="78.75" hidden="false" customHeight="true" outlineLevel="0" collapsed="false">
      <c r="A41" s="145" t="s">
        <v>105</v>
      </c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6" t="s">
        <v>106</v>
      </c>
      <c r="Q41" s="146"/>
      <c r="R41" s="146"/>
      <c r="S41" s="146"/>
      <c r="T41" s="147" t="s">
        <v>78</v>
      </c>
      <c r="U41" s="147"/>
      <c r="V41" s="147"/>
      <c r="W41" s="147"/>
      <c r="X41" s="147"/>
    </row>
    <row r="42" customFormat="false" ht="67.5" hidden="false" customHeight="true" outlineLevel="0" collapsed="false">
      <c r="A42" s="145" t="s">
        <v>107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6" t="s">
        <v>108</v>
      </c>
      <c r="Q42" s="146"/>
      <c r="R42" s="146"/>
      <c r="S42" s="146"/>
      <c r="T42" s="147" t="s">
        <v>78</v>
      </c>
      <c r="U42" s="147"/>
      <c r="V42" s="147"/>
      <c r="W42" s="147"/>
      <c r="X42" s="147"/>
    </row>
    <row r="43" customFormat="false" ht="79.5" hidden="false" customHeight="true" outlineLevel="0" collapsed="false">
      <c r="A43" s="145" t="s">
        <v>109</v>
      </c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6" t="s">
        <v>110</v>
      </c>
      <c r="Q43" s="146"/>
      <c r="R43" s="146"/>
      <c r="S43" s="146"/>
      <c r="T43" s="147" t="s">
        <v>78</v>
      </c>
      <c r="U43" s="147"/>
      <c r="V43" s="147"/>
      <c r="W43" s="147"/>
      <c r="X43" s="147"/>
    </row>
    <row r="44" customFormat="false" ht="21.75" hidden="false" customHeight="true" outlineLevel="0" collapsed="false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48" t="s">
        <v>111</v>
      </c>
      <c r="Q44" s="148"/>
      <c r="R44" s="148"/>
      <c r="S44" s="148"/>
      <c r="T44" s="147" t="s">
        <v>78</v>
      </c>
      <c r="U44" s="147"/>
      <c r="V44" s="147"/>
      <c r="W44" s="147"/>
      <c r="X44" s="147"/>
    </row>
    <row r="45" customFormat="false" ht="21.75" hidden="false" customHeight="true" outlineLevel="0" collapsed="false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49"/>
      <c r="U45" s="149"/>
      <c r="V45" s="149"/>
      <c r="W45" s="149"/>
      <c r="X45" s="149"/>
    </row>
    <row r="46" customFormat="false" ht="21.75" hidden="false" customHeight="true" outlineLevel="0" collapsed="false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49"/>
      <c r="U46" s="149"/>
      <c r="V46" s="149"/>
      <c r="W46" s="149"/>
      <c r="X46" s="149"/>
    </row>
    <row r="47" customFormat="false" ht="21.75" hidden="false" customHeight="true" outlineLevel="0" collapsed="false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49"/>
      <c r="U47" s="149"/>
      <c r="V47" s="149"/>
      <c r="W47" s="149"/>
      <c r="X47" s="149"/>
    </row>
    <row r="48" customFormat="false" ht="21.75" hidden="false" customHeight="true" outlineLevel="0" collapsed="false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49"/>
      <c r="U48" s="149"/>
      <c r="V48" s="149"/>
      <c r="W48" s="149"/>
      <c r="X48" s="149"/>
    </row>
    <row r="49" customFormat="false" ht="21.75" hidden="false" customHeight="true" outlineLevel="0" collapsed="false">
      <c r="A49" s="124" t="s">
        <v>82</v>
      </c>
    </row>
    <row r="50" customFormat="false" ht="32.25" hidden="false" customHeight="true" outlineLevel="0" collapsed="false">
      <c r="A50" s="125" t="s">
        <v>112</v>
      </c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6" t="s">
        <v>100</v>
      </c>
      <c r="O50" s="126"/>
      <c r="P50" s="126"/>
      <c r="Q50" s="126"/>
      <c r="R50" s="126"/>
      <c r="S50" s="126"/>
      <c r="T50" s="126"/>
      <c r="U50" s="126"/>
      <c r="V50" s="126"/>
      <c r="W50" s="126"/>
      <c r="X50" s="126"/>
    </row>
    <row r="51" customFormat="false" ht="22.5" hidden="false" customHeight="true" outlineLevel="0" collapsed="false">
      <c r="A51" s="127" t="s">
        <v>85</v>
      </c>
      <c r="B51" s="127"/>
      <c r="C51" s="127"/>
      <c r="D51" s="127"/>
      <c r="E51" s="128" t="s">
        <v>2</v>
      </c>
      <c r="F51" s="128"/>
      <c r="G51" s="128"/>
      <c r="H51" s="128"/>
      <c r="I51" s="128"/>
      <c r="J51" s="128"/>
      <c r="K51" s="128"/>
      <c r="L51" s="129" t="s">
        <v>86</v>
      </c>
      <c r="M51" s="129"/>
      <c r="N51" s="129"/>
      <c r="O51" s="129"/>
      <c r="P51" s="129"/>
      <c r="Q51" s="130" t="s">
        <v>87</v>
      </c>
      <c r="R51" s="130"/>
      <c r="S51" s="130"/>
      <c r="T51" s="130"/>
      <c r="U51" s="130"/>
      <c r="V51" s="130"/>
      <c r="W51" s="130"/>
      <c r="X51" s="130"/>
    </row>
    <row r="52" customFormat="false" ht="22.5" hidden="false" customHeight="true" outlineLevel="0" collapsed="false">
      <c r="A52" s="131" t="s">
        <v>88</v>
      </c>
      <c r="B52" s="131"/>
      <c r="C52" s="131"/>
      <c r="D52" s="131"/>
      <c r="E52" s="132" t="s">
        <v>6</v>
      </c>
      <c r="F52" s="132"/>
      <c r="G52" s="132"/>
      <c r="H52" s="132"/>
      <c r="I52" s="132"/>
      <c r="J52" s="132"/>
      <c r="K52" s="132"/>
      <c r="L52" s="132" t="s">
        <v>89</v>
      </c>
      <c r="M52" s="132"/>
      <c r="N52" s="132"/>
      <c r="O52" s="132"/>
      <c r="P52" s="132"/>
      <c r="Q52" s="133" t="s">
        <v>90</v>
      </c>
      <c r="R52" s="133"/>
      <c r="S52" s="133"/>
      <c r="T52" s="134" t="s">
        <v>52</v>
      </c>
      <c r="U52" s="135" t="s">
        <v>91</v>
      </c>
      <c r="V52" s="135"/>
      <c r="W52" s="135"/>
      <c r="X52" s="136" t="s">
        <v>49</v>
      </c>
    </row>
    <row r="53" customFormat="false" ht="6" hidden="false" customHeight="true" outlineLevel="0" collapsed="false">
      <c r="A53" s="150"/>
      <c r="B53" s="150"/>
      <c r="C53" s="150"/>
      <c r="D53" s="150"/>
      <c r="E53" s="150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</row>
    <row r="54" customFormat="false" ht="15" hidden="false" customHeight="true" outlineLevel="0" collapsed="false">
      <c r="A54" s="151" t="s">
        <v>113</v>
      </c>
      <c r="B54" s="152"/>
      <c r="C54" s="152"/>
      <c r="D54" s="152"/>
      <c r="E54" s="153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5" t="s">
        <v>114</v>
      </c>
      <c r="V54" s="155"/>
      <c r="W54" s="155"/>
      <c r="X54" s="155"/>
    </row>
    <row r="55" customFormat="false" ht="15.75" hidden="false" customHeight="true" outlineLevel="0" collapsed="false">
      <c r="A55" s="156" t="s">
        <v>115</v>
      </c>
      <c r="B55" s="157"/>
      <c r="C55" s="157"/>
      <c r="D55" s="157"/>
      <c r="E55" s="157"/>
      <c r="F55" s="137"/>
      <c r="G55" s="137"/>
      <c r="H55" s="137"/>
      <c r="I55" s="137"/>
      <c r="J55" s="137"/>
      <c r="K55" s="137"/>
      <c r="L55" s="158"/>
      <c r="M55" s="158"/>
      <c r="N55" s="137"/>
      <c r="O55" s="137"/>
      <c r="P55" s="137"/>
      <c r="Q55" s="137"/>
      <c r="R55" s="159" t="s">
        <v>116</v>
      </c>
      <c r="S55" s="158"/>
      <c r="T55" s="137"/>
      <c r="U55" s="160"/>
      <c r="V55" s="160"/>
      <c r="W55" s="160"/>
      <c r="X55" s="160"/>
    </row>
    <row r="56" customFormat="false" ht="14.25" hidden="false" customHeight="true" outlineLevel="0" collapsed="false">
      <c r="A56" s="161" t="s">
        <v>117</v>
      </c>
      <c r="B56" s="157"/>
      <c r="C56" s="157"/>
      <c r="D56" s="157"/>
      <c r="E56" s="157"/>
      <c r="F56" s="137"/>
      <c r="G56" s="137"/>
      <c r="H56" s="137"/>
      <c r="I56" s="137"/>
      <c r="J56" s="137"/>
      <c r="K56" s="137"/>
      <c r="L56" s="158"/>
      <c r="M56" s="158"/>
      <c r="N56" s="137"/>
      <c r="O56" s="137"/>
      <c r="P56" s="158"/>
      <c r="Q56" s="137"/>
      <c r="R56" s="159" t="s">
        <v>116</v>
      </c>
      <c r="S56" s="158"/>
      <c r="T56" s="137"/>
      <c r="U56" s="160"/>
      <c r="V56" s="160"/>
      <c r="W56" s="160"/>
      <c r="X56" s="160"/>
    </row>
    <row r="57" customFormat="false" ht="15" hidden="false" customHeight="true" outlineLevel="0" collapsed="false">
      <c r="A57" s="161" t="s">
        <v>118</v>
      </c>
      <c r="B57" s="157"/>
      <c r="C57" s="157"/>
      <c r="D57" s="157"/>
      <c r="E57" s="157"/>
      <c r="F57" s="137"/>
      <c r="G57" s="137"/>
      <c r="H57" s="137"/>
      <c r="I57" s="137"/>
      <c r="J57" s="137"/>
      <c r="K57" s="137"/>
      <c r="L57" s="137"/>
      <c r="M57" s="158"/>
      <c r="N57" s="137"/>
      <c r="O57" s="137"/>
      <c r="P57" s="158"/>
      <c r="Q57" s="137"/>
      <c r="R57" s="159" t="s">
        <v>116</v>
      </c>
      <c r="S57" s="158"/>
      <c r="T57" s="137"/>
      <c r="U57" s="160"/>
      <c r="V57" s="160"/>
      <c r="W57" s="160"/>
      <c r="X57" s="160"/>
    </row>
    <row r="58" customFormat="false" ht="15" hidden="false" customHeight="true" outlineLevel="0" collapsed="false">
      <c r="A58" s="161" t="s">
        <v>119</v>
      </c>
      <c r="B58" s="157"/>
      <c r="C58" s="157"/>
      <c r="D58" s="157"/>
      <c r="E58" s="157"/>
      <c r="F58" s="137"/>
      <c r="G58" s="137"/>
      <c r="H58" s="137"/>
      <c r="I58" s="137"/>
      <c r="J58" s="137"/>
      <c r="K58" s="137"/>
      <c r="L58" s="158"/>
      <c r="M58" s="158"/>
      <c r="N58" s="137"/>
      <c r="O58" s="137"/>
      <c r="P58" s="158"/>
      <c r="Q58" s="137"/>
      <c r="R58" s="159" t="s">
        <v>116</v>
      </c>
      <c r="S58" s="158"/>
      <c r="T58" s="137"/>
      <c r="U58" s="160"/>
      <c r="V58" s="160"/>
      <c r="W58" s="160"/>
      <c r="X58" s="160"/>
    </row>
    <row r="59" customFormat="false" ht="15" hidden="false" customHeight="true" outlineLevel="0" collapsed="false">
      <c r="A59" s="161" t="s">
        <v>120</v>
      </c>
      <c r="B59" s="157"/>
      <c r="C59" s="157"/>
      <c r="D59" s="157"/>
      <c r="E59" s="157"/>
      <c r="F59" s="137"/>
      <c r="G59" s="137"/>
      <c r="H59" s="137"/>
      <c r="I59" s="137"/>
      <c r="J59" s="137"/>
      <c r="K59" s="137"/>
      <c r="L59" s="158"/>
      <c r="M59" s="158"/>
      <c r="N59" s="137"/>
      <c r="O59" s="137"/>
      <c r="P59" s="158"/>
      <c r="Q59" s="137"/>
      <c r="R59" s="159" t="s">
        <v>116</v>
      </c>
      <c r="S59" s="158"/>
      <c r="T59" s="137"/>
      <c r="U59" s="160"/>
      <c r="V59" s="160"/>
      <c r="W59" s="160"/>
      <c r="X59" s="160"/>
    </row>
    <row r="60" customFormat="false" ht="15" hidden="false" customHeight="true" outlineLevel="0" collapsed="false">
      <c r="A60" s="161" t="s">
        <v>121</v>
      </c>
      <c r="B60" s="157"/>
      <c r="C60" s="157"/>
      <c r="D60" s="157"/>
      <c r="E60" s="157"/>
      <c r="F60" s="137"/>
      <c r="G60" s="137"/>
      <c r="H60" s="137"/>
      <c r="I60" s="137"/>
      <c r="J60" s="137"/>
      <c r="K60" s="137"/>
      <c r="L60" s="137"/>
      <c r="M60" s="158"/>
      <c r="N60" s="137"/>
      <c r="O60" s="137"/>
      <c r="P60" s="158"/>
      <c r="Q60" s="137"/>
      <c r="R60" s="159" t="s">
        <v>116</v>
      </c>
      <c r="S60" s="158"/>
      <c r="T60" s="137"/>
      <c r="U60" s="160"/>
      <c r="V60" s="160"/>
      <c r="W60" s="160"/>
      <c r="X60" s="160"/>
    </row>
    <row r="61" customFormat="false" ht="15" hidden="false" customHeight="true" outlineLevel="0" collapsed="false">
      <c r="A61" s="162" t="s">
        <v>122</v>
      </c>
      <c r="B61" s="163"/>
      <c r="C61" s="163"/>
      <c r="D61" s="163"/>
      <c r="E61" s="163"/>
      <c r="F61" s="164"/>
      <c r="G61" s="164"/>
      <c r="H61" s="164"/>
      <c r="I61" s="164"/>
      <c r="J61" s="164"/>
      <c r="K61" s="164"/>
      <c r="L61" s="164"/>
      <c r="M61" s="165"/>
      <c r="N61" s="164"/>
      <c r="O61" s="164"/>
      <c r="P61" s="165"/>
      <c r="Q61" s="164"/>
      <c r="R61" s="166" t="s">
        <v>116</v>
      </c>
      <c r="S61" s="165"/>
      <c r="T61" s="164"/>
      <c r="U61" s="160"/>
      <c r="V61" s="160"/>
      <c r="W61" s="160"/>
      <c r="X61" s="160"/>
    </row>
    <row r="62" customFormat="false" ht="24.75" hidden="false" customHeight="true" outlineLevel="0" collapsed="false">
      <c r="A62" s="167" t="s">
        <v>123</v>
      </c>
      <c r="B62" s="167"/>
      <c r="C62" s="168" t="s">
        <v>124</v>
      </c>
      <c r="D62" s="168"/>
      <c r="E62" s="169" t="s">
        <v>19</v>
      </c>
      <c r="F62" s="169" t="s">
        <v>125</v>
      </c>
      <c r="G62" s="169"/>
      <c r="H62" s="169"/>
      <c r="I62" s="169"/>
      <c r="J62" s="169"/>
      <c r="K62" s="170" t="s">
        <v>126</v>
      </c>
      <c r="L62" s="170"/>
      <c r="M62" s="170" t="s">
        <v>127</v>
      </c>
      <c r="N62" s="170"/>
      <c r="O62" s="169" t="s">
        <v>128</v>
      </c>
      <c r="P62" s="169"/>
      <c r="Q62" s="169"/>
      <c r="R62" s="170" t="s">
        <v>129</v>
      </c>
      <c r="S62" s="170"/>
      <c r="T62" s="170"/>
      <c r="U62" s="171" t="s">
        <v>130</v>
      </c>
      <c r="V62" s="171"/>
      <c r="W62" s="171"/>
      <c r="X62" s="171"/>
    </row>
    <row r="63" customFormat="false" ht="15" hidden="false" customHeight="true" outlineLevel="0" collapsed="false">
      <c r="A63" s="172" t="s">
        <v>131</v>
      </c>
      <c r="B63" s="172"/>
      <c r="C63" s="146" t="s">
        <v>132</v>
      </c>
      <c r="D63" s="146"/>
      <c r="E63" s="173" t="s">
        <v>133</v>
      </c>
      <c r="F63" s="174" t="s">
        <v>134</v>
      </c>
      <c r="G63" s="174"/>
      <c r="H63" s="174"/>
      <c r="I63" s="174"/>
      <c r="J63" s="174"/>
      <c r="K63" s="175" t="s">
        <v>135</v>
      </c>
      <c r="L63" s="175"/>
      <c r="M63" s="176" t="s">
        <v>136</v>
      </c>
      <c r="N63" s="176"/>
      <c r="O63" s="177" t="s">
        <v>137</v>
      </c>
      <c r="P63" s="177"/>
      <c r="Q63" s="177"/>
      <c r="R63" s="178" t="s">
        <v>138</v>
      </c>
      <c r="S63" s="178"/>
      <c r="T63" s="178"/>
      <c r="U63" s="143"/>
      <c r="V63" s="143"/>
      <c r="W63" s="143"/>
      <c r="X63" s="143"/>
    </row>
    <row r="64" customFormat="false" ht="15" hidden="false" customHeight="true" outlineLevel="0" collapsed="false">
      <c r="A64" s="172" t="s">
        <v>139</v>
      </c>
      <c r="B64" s="172"/>
      <c r="C64" s="146" t="s">
        <v>132</v>
      </c>
      <c r="D64" s="146"/>
      <c r="E64" s="173" t="s">
        <v>133</v>
      </c>
      <c r="F64" s="174" t="s">
        <v>140</v>
      </c>
      <c r="G64" s="174"/>
      <c r="H64" s="174"/>
      <c r="I64" s="174"/>
      <c r="J64" s="174"/>
      <c r="K64" s="175" t="s">
        <v>141</v>
      </c>
      <c r="L64" s="175"/>
      <c r="M64" s="176" t="s">
        <v>142</v>
      </c>
      <c r="N64" s="176"/>
      <c r="O64" s="177" t="s">
        <v>143</v>
      </c>
      <c r="P64" s="177"/>
      <c r="Q64" s="177"/>
      <c r="R64" s="178" t="s">
        <v>138</v>
      </c>
      <c r="S64" s="178"/>
      <c r="T64" s="178"/>
      <c r="U64" s="143"/>
      <c r="V64" s="143"/>
      <c r="W64" s="143"/>
      <c r="X64" s="143"/>
    </row>
    <row r="65" customFormat="false" ht="15" hidden="false" customHeight="true" outlineLevel="0" collapsed="false">
      <c r="A65" s="172" t="s">
        <v>144</v>
      </c>
      <c r="B65" s="172"/>
      <c r="C65" s="146" t="s">
        <v>132</v>
      </c>
      <c r="D65" s="146"/>
      <c r="E65" s="173" t="s">
        <v>133</v>
      </c>
      <c r="F65" s="174" t="s">
        <v>145</v>
      </c>
      <c r="G65" s="174"/>
      <c r="H65" s="174"/>
      <c r="I65" s="174"/>
      <c r="J65" s="174"/>
      <c r="K65" s="175" t="s">
        <v>146</v>
      </c>
      <c r="L65" s="175"/>
      <c r="M65" s="176" t="s">
        <v>147</v>
      </c>
      <c r="N65" s="176"/>
      <c r="O65" s="177" t="s">
        <v>148</v>
      </c>
      <c r="P65" s="177"/>
      <c r="Q65" s="177"/>
      <c r="R65" s="178" t="s">
        <v>138</v>
      </c>
      <c r="S65" s="178"/>
      <c r="T65" s="178"/>
      <c r="U65" s="143"/>
      <c r="V65" s="143"/>
      <c r="W65" s="143"/>
      <c r="X65" s="143"/>
    </row>
    <row r="66" customFormat="false" ht="15" hidden="false" customHeight="true" outlineLevel="0" collapsed="false">
      <c r="A66" s="172" t="s">
        <v>149</v>
      </c>
      <c r="B66" s="172"/>
      <c r="C66" s="146" t="s">
        <v>132</v>
      </c>
      <c r="D66" s="146"/>
      <c r="E66" s="173" t="s">
        <v>133</v>
      </c>
      <c r="F66" s="174" t="s">
        <v>150</v>
      </c>
      <c r="G66" s="174"/>
      <c r="H66" s="174"/>
      <c r="I66" s="174"/>
      <c r="J66" s="174"/>
      <c r="K66" s="175" t="s">
        <v>151</v>
      </c>
      <c r="L66" s="175"/>
      <c r="M66" s="176" t="s">
        <v>152</v>
      </c>
      <c r="N66" s="176"/>
      <c r="O66" s="177" t="s">
        <v>153</v>
      </c>
      <c r="P66" s="177"/>
      <c r="Q66" s="177"/>
      <c r="R66" s="178" t="s">
        <v>138</v>
      </c>
      <c r="S66" s="178"/>
      <c r="T66" s="178"/>
      <c r="U66" s="143"/>
      <c r="V66" s="143"/>
      <c r="W66" s="143"/>
      <c r="X66" s="143"/>
    </row>
    <row r="67" customFormat="false" ht="15" hidden="false" customHeight="true" outlineLevel="0" collapsed="false">
      <c r="A67" s="172" t="s">
        <v>154</v>
      </c>
      <c r="B67" s="172"/>
      <c r="C67" s="146" t="s">
        <v>132</v>
      </c>
      <c r="D67" s="146"/>
      <c r="E67" s="173" t="s">
        <v>133</v>
      </c>
      <c r="F67" s="174" t="s">
        <v>155</v>
      </c>
      <c r="G67" s="174"/>
      <c r="H67" s="174"/>
      <c r="I67" s="174"/>
      <c r="J67" s="174"/>
      <c r="K67" s="175" t="s">
        <v>156</v>
      </c>
      <c r="L67" s="175"/>
      <c r="M67" s="176" t="s">
        <v>157</v>
      </c>
      <c r="N67" s="176"/>
      <c r="O67" s="177" t="s">
        <v>158</v>
      </c>
      <c r="P67" s="177"/>
      <c r="Q67" s="177"/>
      <c r="R67" s="178" t="s">
        <v>138</v>
      </c>
      <c r="S67" s="178"/>
      <c r="T67" s="178"/>
      <c r="U67" s="143"/>
      <c r="V67" s="143"/>
      <c r="W67" s="143"/>
      <c r="X67" s="143"/>
    </row>
    <row r="68" customFormat="false" ht="15" hidden="false" customHeight="true" outlineLevel="0" collapsed="false">
      <c r="A68" s="172" t="s">
        <v>159</v>
      </c>
      <c r="B68" s="172"/>
      <c r="C68" s="146" t="s">
        <v>132</v>
      </c>
      <c r="D68" s="146"/>
      <c r="E68" s="173" t="s">
        <v>133</v>
      </c>
      <c r="F68" s="174" t="s">
        <v>160</v>
      </c>
      <c r="G68" s="174"/>
      <c r="H68" s="174"/>
      <c r="I68" s="174"/>
      <c r="J68" s="174"/>
      <c r="K68" s="175" t="s">
        <v>161</v>
      </c>
      <c r="L68" s="175"/>
      <c r="M68" s="176" t="s">
        <v>162</v>
      </c>
      <c r="N68" s="176"/>
      <c r="O68" s="177" t="s">
        <v>163</v>
      </c>
      <c r="P68" s="177"/>
      <c r="Q68" s="177"/>
      <c r="R68" s="178" t="s">
        <v>138</v>
      </c>
      <c r="S68" s="178"/>
      <c r="T68" s="178"/>
      <c r="U68" s="143"/>
      <c r="V68" s="143"/>
      <c r="W68" s="143"/>
      <c r="X68" s="143"/>
    </row>
    <row r="69" customFormat="false" ht="15" hidden="false" customHeight="true" outlineLevel="0" collapsed="false">
      <c r="A69" s="172" t="s">
        <v>164</v>
      </c>
      <c r="B69" s="172"/>
      <c r="C69" s="146" t="s">
        <v>132</v>
      </c>
      <c r="D69" s="146"/>
      <c r="E69" s="173" t="s">
        <v>133</v>
      </c>
      <c r="F69" s="174" t="s">
        <v>165</v>
      </c>
      <c r="G69" s="174"/>
      <c r="H69" s="174"/>
      <c r="I69" s="174"/>
      <c r="J69" s="174"/>
      <c r="K69" s="175" t="s">
        <v>166</v>
      </c>
      <c r="L69" s="175"/>
      <c r="M69" s="176" t="s">
        <v>167</v>
      </c>
      <c r="N69" s="176"/>
      <c r="O69" s="177" t="s">
        <v>168</v>
      </c>
      <c r="P69" s="177"/>
      <c r="Q69" s="177"/>
      <c r="R69" s="178" t="s">
        <v>138</v>
      </c>
      <c r="S69" s="178"/>
      <c r="T69" s="178"/>
      <c r="U69" s="143"/>
      <c r="V69" s="143"/>
      <c r="W69" s="143"/>
      <c r="X69" s="143"/>
    </row>
    <row r="70" customFormat="false" ht="15" hidden="false" customHeight="true" outlineLevel="0" collapsed="false">
      <c r="A70" s="172" t="s">
        <v>169</v>
      </c>
      <c r="B70" s="172"/>
      <c r="C70" s="146" t="s">
        <v>132</v>
      </c>
      <c r="D70" s="146"/>
      <c r="E70" s="173" t="s">
        <v>133</v>
      </c>
      <c r="F70" s="174" t="s">
        <v>170</v>
      </c>
      <c r="G70" s="174"/>
      <c r="H70" s="174"/>
      <c r="I70" s="174"/>
      <c r="J70" s="174"/>
      <c r="K70" s="175" t="s">
        <v>171</v>
      </c>
      <c r="L70" s="175"/>
      <c r="M70" s="176" t="s">
        <v>172</v>
      </c>
      <c r="N70" s="176"/>
      <c r="O70" s="177" t="s">
        <v>173</v>
      </c>
      <c r="P70" s="177"/>
      <c r="Q70" s="177"/>
      <c r="R70" s="178" t="s">
        <v>138</v>
      </c>
      <c r="S70" s="178"/>
      <c r="T70" s="178"/>
      <c r="U70" s="143"/>
      <c r="V70" s="143"/>
      <c r="W70" s="143"/>
      <c r="X70" s="143"/>
    </row>
    <row r="71" customFormat="false" ht="15" hidden="false" customHeight="true" outlineLevel="0" collapsed="false">
      <c r="A71" s="172" t="s">
        <v>174</v>
      </c>
      <c r="B71" s="172"/>
      <c r="C71" s="146" t="s">
        <v>132</v>
      </c>
      <c r="D71" s="146"/>
      <c r="E71" s="173" t="s">
        <v>133</v>
      </c>
      <c r="F71" s="174" t="s">
        <v>175</v>
      </c>
      <c r="G71" s="174"/>
      <c r="H71" s="174"/>
      <c r="I71" s="174"/>
      <c r="J71" s="174"/>
      <c r="K71" s="175" t="s">
        <v>176</v>
      </c>
      <c r="L71" s="175"/>
      <c r="M71" s="176" t="s">
        <v>177</v>
      </c>
      <c r="N71" s="176"/>
      <c r="O71" s="177" t="s">
        <v>178</v>
      </c>
      <c r="P71" s="177"/>
      <c r="Q71" s="177"/>
      <c r="R71" s="178" t="s">
        <v>138</v>
      </c>
      <c r="S71" s="178"/>
      <c r="T71" s="178"/>
      <c r="U71" s="143"/>
      <c r="V71" s="143"/>
      <c r="W71" s="143"/>
      <c r="X71" s="143"/>
    </row>
    <row r="72" customFormat="false" ht="15" hidden="false" customHeight="true" outlineLevel="0" collapsed="false">
      <c r="A72" s="172" t="s">
        <v>179</v>
      </c>
      <c r="B72" s="172"/>
      <c r="C72" s="146" t="s">
        <v>132</v>
      </c>
      <c r="D72" s="146"/>
      <c r="E72" s="173" t="s">
        <v>133</v>
      </c>
      <c r="F72" s="174" t="s">
        <v>180</v>
      </c>
      <c r="G72" s="174"/>
      <c r="H72" s="174"/>
      <c r="I72" s="174"/>
      <c r="J72" s="174"/>
      <c r="K72" s="175" t="s">
        <v>135</v>
      </c>
      <c r="L72" s="175"/>
      <c r="M72" s="176" t="s">
        <v>136</v>
      </c>
      <c r="N72" s="176"/>
      <c r="O72" s="177" t="s">
        <v>137</v>
      </c>
      <c r="P72" s="177"/>
      <c r="Q72" s="177"/>
      <c r="R72" s="178" t="s">
        <v>138</v>
      </c>
      <c r="S72" s="178"/>
      <c r="T72" s="178"/>
      <c r="U72" s="143"/>
      <c r="V72" s="143"/>
      <c r="W72" s="143"/>
      <c r="X72" s="143"/>
    </row>
    <row r="73" customFormat="false" ht="15" hidden="false" customHeight="true" outlineLevel="0" collapsed="false">
      <c r="A73" s="172" t="s">
        <v>181</v>
      </c>
      <c r="B73" s="172"/>
      <c r="C73" s="146" t="s">
        <v>182</v>
      </c>
      <c r="D73" s="146"/>
      <c r="E73" s="173" t="s">
        <v>133</v>
      </c>
      <c r="F73" s="174" t="s">
        <v>183</v>
      </c>
      <c r="G73" s="174"/>
      <c r="H73" s="174"/>
      <c r="I73" s="174"/>
      <c r="J73" s="174"/>
      <c r="K73" s="175" t="s">
        <v>135</v>
      </c>
      <c r="L73" s="175"/>
      <c r="M73" s="176" t="s">
        <v>136</v>
      </c>
      <c r="N73" s="176"/>
      <c r="O73" s="177" t="s">
        <v>137</v>
      </c>
      <c r="P73" s="177"/>
      <c r="Q73" s="177"/>
      <c r="R73" s="178" t="s">
        <v>138</v>
      </c>
      <c r="S73" s="178"/>
      <c r="T73" s="178"/>
      <c r="U73" s="143"/>
      <c r="V73" s="143"/>
      <c r="W73" s="143"/>
      <c r="X73" s="143"/>
    </row>
    <row r="74" customFormat="false" ht="15" hidden="false" customHeight="true" outlineLevel="0" collapsed="false">
      <c r="A74" s="172" t="s">
        <v>184</v>
      </c>
      <c r="B74" s="172"/>
      <c r="C74" s="146" t="s">
        <v>132</v>
      </c>
      <c r="D74" s="146"/>
      <c r="E74" s="173" t="s">
        <v>133</v>
      </c>
      <c r="F74" s="174" t="s">
        <v>185</v>
      </c>
      <c r="G74" s="174"/>
      <c r="H74" s="174"/>
      <c r="I74" s="174"/>
      <c r="J74" s="174"/>
      <c r="K74" s="175" t="s">
        <v>135</v>
      </c>
      <c r="L74" s="175"/>
      <c r="M74" s="176" t="s">
        <v>136</v>
      </c>
      <c r="N74" s="176"/>
      <c r="O74" s="177" t="s">
        <v>137</v>
      </c>
      <c r="P74" s="177"/>
      <c r="Q74" s="177"/>
      <c r="R74" s="178" t="s">
        <v>138</v>
      </c>
      <c r="S74" s="178"/>
      <c r="T74" s="178"/>
      <c r="U74" s="143"/>
      <c r="V74" s="143"/>
      <c r="W74" s="143"/>
      <c r="X74" s="143"/>
    </row>
    <row r="75" customFormat="false" ht="15" hidden="false" customHeight="true" outlineLevel="0" collapsed="false">
      <c r="A75" s="172" t="s">
        <v>186</v>
      </c>
      <c r="B75" s="172"/>
      <c r="C75" s="146" t="s">
        <v>182</v>
      </c>
      <c r="D75" s="146"/>
      <c r="E75" s="173" t="s">
        <v>133</v>
      </c>
      <c r="F75" s="174" t="s">
        <v>187</v>
      </c>
      <c r="G75" s="174"/>
      <c r="H75" s="174"/>
      <c r="I75" s="174"/>
      <c r="J75" s="174"/>
      <c r="K75" s="175" t="s">
        <v>135</v>
      </c>
      <c r="L75" s="175"/>
      <c r="M75" s="176" t="s">
        <v>136</v>
      </c>
      <c r="N75" s="176"/>
      <c r="O75" s="177" t="s">
        <v>137</v>
      </c>
      <c r="P75" s="177"/>
      <c r="Q75" s="177"/>
      <c r="R75" s="178" t="s">
        <v>138</v>
      </c>
      <c r="S75" s="178"/>
      <c r="T75" s="178"/>
      <c r="U75" s="143"/>
      <c r="V75" s="143"/>
      <c r="W75" s="143"/>
      <c r="X75" s="143"/>
    </row>
    <row r="76" customFormat="false" ht="15" hidden="false" customHeight="true" outlineLevel="0" collapsed="false">
      <c r="A76" s="172" t="s">
        <v>188</v>
      </c>
      <c r="B76" s="172"/>
      <c r="C76" s="146" t="s">
        <v>132</v>
      </c>
      <c r="D76" s="146"/>
      <c r="E76" s="173" t="s">
        <v>133</v>
      </c>
      <c r="F76" s="174" t="s">
        <v>189</v>
      </c>
      <c r="G76" s="174"/>
      <c r="H76" s="174"/>
      <c r="I76" s="174"/>
      <c r="J76" s="174"/>
      <c r="K76" s="175" t="s">
        <v>190</v>
      </c>
      <c r="L76" s="175"/>
      <c r="M76" s="176" t="s">
        <v>191</v>
      </c>
      <c r="N76" s="176"/>
      <c r="O76" s="177" t="s">
        <v>192</v>
      </c>
      <c r="P76" s="177"/>
      <c r="Q76" s="177"/>
      <c r="R76" s="178" t="s">
        <v>138</v>
      </c>
      <c r="S76" s="178"/>
      <c r="T76" s="178"/>
      <c r="U76" s="143"/>
      <c r="V76" s="143"/>
      <c r="W76" s="143"/>
      <c r="X76" s="143"/>
    </row>
    <row r="77" customFormat="false" ht="15" hidden="false" customHeight="true" outlineLevel="0" collapsed="false">
      <c r="A77" s="172" t="s">
        <v>193</v>
      </c>
      <c r="B77" s="172"/>
      <c r="C77" s="146" t="s">
        <v>132</v>
      </c>
      <c r="D77" s="146"/>
      <c r="E77" s="173" t="s">
        <v>133</v>
      </c>
      <c r="F77" s="174" t="s">
        <v>194</v>
      </c>
      <c r="G77" s="174"/>
      <c r="H77" s="174"/>
      <c r="I77" s="174"/>
      <c r="J77" s="174"/>
      <c r="K77" s="175" t="s">
        <v>190</v>
      </c>
      <c r="L77" s="175"/>
      <c r="M77" s="176" t="s">
        <v>191</v>
      </c>
      <c r="N77" s="176"/>
      <c r="O77" s="177" t="s">
        <v>195</v>
      </c>
      <c r="P77" s="177"/>
      <c r="Q77" s="177"/>
      <c r="R77" s="178" t="s">
        <v>138</v>
      </c>
      <c r="S77" s="178"/>
      <c r="T77" s="178"/>
      <c r="U77" s="143"/>
      <c r="V77" s="143"/>
      <c r="W77" s="143"/>
      <c r="X77" s="143"/>
    </row>
    <row r="78" customFormat="false" ht="15" hidden="false" customHeight="true" outlineLevel="0" collapsed="false">
      <c r="A78" s="172" t="s">
        <v>196</v>
      </c>
      <c r="B78" s="172"/>
      <c r="C78" s="146" t="s">
        <v>132</v>
      </c>
      <c r="D78" s="146"/>
      <c r="E78" s="173" t="s">
        <v>197</v>
      </c>
      <c r="F78" s="174" t="s">
        <v>198</v>
      </c>
      <c r="G78" s="174"/>
      <c r="H78" s="174"/>
      <c r="I78" s="174"/>
      <c r="J78" s="174"/>
      <c r="K78" s="175" t="s">
        <v>199</v>
      </c>
      <c r="L78" s="175"/>
      <c r="M78" s="176" t="s">
        <v>200</v>
      </c>
      <c r="N78" s="176"/>
      <c r="O78" s="177" t="s">
        <v>201</v>
      </c>
      <c r="P78" s="177"/>
      <c r="Q78" s="177"/>
      <c r="R78" s="178" t="s">
        <v>138</v>
      </c>
      <c r="S78" s="178"/>
      <c r="T78" s="178"/>
      <c r="U78" s="143"/>
      <c r="V78" s="143"/>
      <c r="W78" s="143"/>
      <c r="X78" s="143"/>
    </row>
    <row r="79" customFormat="false" ht="15" hidden="false" customHeight="true" outlineLevel="0" collapsed="false">
      <c r="A79" s="172" t="s">
        <v>202</v>
      </c>
      <c r="B79" s="172"/>
      <c r="C79" s="146" t="s">
        <v>132</v>
      </c>
      <c r="D79" s="146"/>
      <c r="E79" s="173" t="s">
        <v>197</v>
      </c>
      <c r="F79" s="174" t="s">
        <v>203</v>
      </c>
      <c r="G79" s="174"/>
      <c r="H79" s="174"/>
      <c r="I79" s="174"/>
      <c r="J79" s="174"/>
      <c r="K79" s="175" t="s">
        <v>204</v>
      </c>
      <c r="L79" s="175"/>
      <c r="M79" s="176" t="s">
        <v>205</v>
      </c>
      <c r="N79" s="176"/>
      <c r="O79" s="177" t="s">
        <v>206</v>
      </c>
      <c r="P79" s="177"/>
      <c r="Q79" s="177"/>
      <c r="R79" s="178" t="s">
        <v>138</v>
      </c>
      <c r="S79" s="178"/>
      <c r="T79" s="178"/>
      <c r="U79" s="143"/>
      <c r="V79" s="143"/>
      <c r="W79" s="143"/>
      <c r="X79" s="143"/>
    </row>
    <row r="80" customFormat="false" ht="15" hidden="false" customHeight="true" outlineLevel="0" collapsed="false">
      <c r="A80" s="172" t="s">
        <v>207</v>
      </c>
      <c r="B80" s="172"/>
      <c r="C80" s="146" t="s">
        <v>132</v>
      </c>
      <c r="D80" s="146"/>
      <c r="E80" s="173" t="s">
        <v>197</v>
      </c>
      <c r="F80" s="174" t="s">
        <v>208</v>
      </c>
      <c r="G80" s="174"/>
      <c r="H80" s="174"/>
      <c r="I80" s="174"/>
      <c r="J80" s="174"/>
      <c r="K80" s="175" t="s">
        <v>209</v>
      </c>
      <c r="L80" s="175"/>
      <c r="M80" s="176" t="s">
        <v>210</v>
      </c>
      <c r="N80" s="176"/>
      <c r="O80" s="177" t="s">
        <v>211</v>
      </c>
      <c r="P80" s="177"/>
      <c r="Q80" s="177"/>
      <c r="R80" s="178" t="s">
        <v>138</v>
      </c>
      <c r="S80" s="178"/>
      <c r="T80" s="178"/>
      <c r="U80" s="143"/>
      <c r="V80" s="143"/>
      <c r="W80" s="143"/>
      <c r="X80" s="143"/>
    </row>
    <row r="81" customFormat="false" ht="15" hidden="false" customHeight="true" outlineLevel="0" collapsed="false">
      <c r="A81" s="172" t="s">
        <v>212</v>
      </c>
      <c r="B81" s="172"/>
      <c r="C81" s="146" t="s">
        <v>132</v>
      </c>
      <c r="D81" s="146"/>
      <c r="E81" s="173" t="s">
        <v>213</v>
      </c>
      <c r="F81" s="174" t="s">
        <v>214</v>
      </c>
      <c r="G81" s="174"/>
      <c r="H81" s="174"/>
      <c r="I81" s="174"/>
      <c r="J81" s="174"/>
      <c r="K81" s="175" t="s">
        <v>215</v>
      </c>
      <c r="L81" s="175"/>
      <c r="M81" s="176" t="s">
        <v>216</v>
      </c>
      <c r="N81" s="176"/>
      <c r="O81" s="177" t="s">
        <v>217</v>
      </c>
      <c r="P81" s="177"/>
      <c r="Q81" s="177"/>
      <c r="R81" s="178" t="s">
        <v>138</v>
      </c>
      <c r="S81" s="178"/>
      <c r="T81" s="178"/>
      <c r="U81" s="143"/>
      <c r="V81" s="143"/>
      <c r="W81" s="143"/>
      <c r="X81" s="143"/>
    </row>
    <row r="82" customFormat="false" ht="15" hidden="false" customHeight="true" outlineLevel="0" collapsed="false">
      <c r="A82" s="172" t="s">
        <v>218</v>
      </c>
      <c r="B82" s="172"/>
      <c r="C82" s="146" t="s">
        <v>132</v>
      </c>
      <c r="D82" s="146"/>
      <c r="E82" s="173" t="s">
        <v>213</v>
      </c>
      <c r="F82" s="174" t="s">
        <v>219</v>
      </c>
      <c r="G82" s="174"/>
      <c r="H82" s="174"/>
      <c r="I82" s="174"/>
      <c r="J82" s="174"/>
      <c r="K82" s="175" t="s">
        <v>176</v>
      </c>
      <c r="L82" s="175"/>
      <c r="M82" s="176" t="s">
        <v>177</v>
      </c>
      <c r="N82" s="176"/>
      <c r="O82" s="177" t="s">
        <v>178</v>
      </c>
      <c r="P82" s="177"/>
      <c r="Q82" s="177"/>
      <c r="R82" s="178" t="s">
        <v>138</v>
      </c>
      <c r="S82" s="178"/>
      <c r="T82" s="178"/>
      <c r="U82" s="143"/>
      <c r="V82" s="143"/>
      <c r="W82" s="143"/>
      <c r="X82" s="143"/>
    </row>
    <row r="83" customFormat="false" ht="15" hidden="false" customHeight="true" outlineLevel="0" collapsed="false">
      <c r="A83" s="172" t="s">
        <v>220</v>
      </c>
      <c r="B83" s="172"/>
      <c r="C83" s="146" t="s">
        <v>182</v>
      </c>
      <c r="D83" s="146"/>
      <c r="E83" s="173" t="s">
        <v>213</v>
      </c>
      <c r="F83" s="174" t="s">
        <v>221</v>
      </c>
      <c r="G83" s="174"/>
      <c r="H83" s="174"/>
      <c r="I83" s="174"/>
      <c r="J83" s="174"/>
      <c r="K83" s="175" t="s">
        <v>135</v>
      </c>
      <c r="L83" s="175"/>
      <c r="M83" s="176" t="s">
        <v>136</v>
      </c>
      <c r="N83" s="176"/>
      <c r="O83" s="177" t="s">
        <v>137</v>
      </c>
      <c r="P83" s="177"/>
      <c r="Q83" s="177"/>
      <c r="R83" s="178" t="s">
        <v>138</v>
      </c>
      <c r="S83" s="178"/>
      <c r="T83" s="178"/>
      <c r="U83" s="143"/>
      <c r="V83" s="143"/>
      <c r="W83" s="143"/>
      <c r="X83" s="143"/>
    </row>
    <row r="84" customFormat="false" ht="15" hidden="false" customHeight="true" outlineLevel="0" collapsed="false">
      <c r="A84" s="172" t="s">
        <v>222</v>
      </c>
      <c r="B84" s="172"/>
      <c r="C84" s="146" t="s">
        <v>182</v>
      </c>
      <c r="D84" s="146"/>
      <c r="E84" s="173" t="s">
        <v>213</v>
      </c>
      <c r="F84" s="174" t="s">
        <v>223</v>
      </c>
      <c r="G84" s="174"/>
      <c r="H84" s="174"/>
      <c r="I84" s="174"/>
      <c r="J84" s="174"/>
      <c r="K84" s="175" t="s">
        <v>135</v>
      </c>
      <c r="L84" s="175"/>
      <c r="M84" s="176" t="s">
        <v>136</v>
      </c>
      <c r="N84" s="176"/>
      <c r="O84" s="177" t="s">
        <v>137</v>
      </c>
      <c r="P84" s="177"/>
      <c r="Q84" s="177"/>
      <c r="R84" s="178" t="s">
        <v>138</v>
      </c>
      <c r="S84" s="178"/>
      <c r="T84" s="178"/>
      <c r="U84" s="143"/>
      <c r="V84" s="143"/>
      <c r="W84" s="143"/>
      <c r="X84" s="143"/>
    </row>
    <row r="85" customFormat="false" ht="15" hidden="false" customHeight="true" outlineLevel="0" collapsed="false">
      <c r="A85" s="172" t="s">
        <v>224</v>
      </c>
      <c r="B85" s="172"/>
      <c r="C85" s="146" t="s">
        <v>132</v>
      </c>
      <c r="D85" s="146"/>
      <c r="E85" s="173" t="s">
        <v>213</v>
      </c>
      <c r="F85" s="174" t="s">
        <v>225</v>
      </c>
      <c r="G85" s="174"/>
      <c r="H85" s="174"/>
      <c r="I85" s="174"/>
      <c r="J85" s="174"/>
      <c r="K85" s="175" t="s">
        <v>226</v>
      </c>
      <c r="L85" s="175"/>
      <c r="M85" s="176" t="s">
        <v>227</v>
      </c>
      <c r="N85" s="176"/>
      <c r="O85" s="177" t="s">
        <v>228</v>
      </c>
      <c r="P85" s="177"/>
      <c r="Q85" s="177"/>
      <c r="R85" s="178" t="s">
        <v>138</v>
      </c>
      <c r="S85" s="178"/>
      <c r="T85" s="178"/>
      <c r="U85" s="143"/>
      <c r="V85" s="143"/>
      <c r="W85" s="143"/>
      <c r="X85" s="143"/>
    </row>
    <row r="86" customFormat="false" ht="15" hidden="false" customHeight="true" outlineLevel="0" collapsed="false">
      <c r="A86" s="172" t="s">
        <v>229</v>
      </c>
      <c r="B86" s="172"/>
      <c r="C86" s="146" t="s">
        <v>132</v>
      </c>
      <c r="D86" s="146"/>
      <c r="E86" s="173" t="s">
        <v>230</v>
      </c>
      <c r="F86" s="174" t="s">
        <v>231</v>
      </c>
      <c r="G86" s="174"/>
      <c r="H86" s="174"/>
      <c r="I86" s="174"/>
      <c r="J86" s="174"/>
      <c r="K86" s="175" t="s">
        <v>232</v>
      </c>
      <c r="L86" s="175"/>
      <c r="M86" s="176" t="s">
        <v>233</v>
      </c>
      <c r="N86" s="176"/>
      <c r="O86" s="177" t="s">
        <v>234</v>
      </c>
      <c r="P86" s="177"/>
      <c r="Q86" s="177"/>
      <c r="R86" s="178" t="s">
        <v>138</v>
      </c>
      <c r="S86" s="178"/>
      <c r="T86" s="178"/>
      <c r="U86" s="143"/>
      <c r="V86" s="143"/>
      <c r="W86" s="143"/>
      <c r="X86" s="143"/>
    </row>
    <row r="87" customFormat="false" ht="17.25" hidden="false" customHeight="true" outlineLevel="0" collapsed="false">
      <c r="A87" s="179" t="s">
        <v>235</v>
      </c>
      <c r="B87" s="179"/>
      <c r="C87" s="179"/>
      <c r="D87" s="179"/>
      <c r="E87" s="179"/>
      <c r="F87" s="179"/>
      <c r="G87" s="179"/>
      <c r="H87" s="179"/>
      <c r="I87" s="179"/>
      <c r="J87" s="179"/>
      <c r="K87" s="180" t="s">
        <v>236</v>
      </c>
      <c r="L87" s="180"/>
      <c r="M87" s="181" t="s">
        <v>237</v>
      </c>
      <c r="N87" s="181"/>
      <c r="O87" s="182" t="s">
        <v>238</v>
      </c>
      <c r="P87" s="182"/>
      <c r="Q87" s="182"/>
      <c r="R87" s="182"/>
      <c r="S87" s="182"/>
      <c r="T87" s="182"/>
      <c r="U87" s="183"/>
      <c r="V87" s="184"/>
      <c r="W87" s="184"/>
      <c r="X87" s="184"/>
    </row>
    <row r="88" customFormat="false" ht="9.75" hidden="false" customHeight="true" outlineLevel="0" collapsed="false">
      <c r="A88" s="185"/>
      <c r="B88" s="185"/>
      <c r="C88" s="185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86"/>
      <c r="X88" s="186"/>
    </row>
    <row r="89" customFormat="false" ht="15" hidden="false" customHeight="true" outlineLevel="0" collapsed="false">
      <c r="A89" s="187" t="s">
        <v>239</v>
      </c>
      <c r="B89" s="188"/>
      <c r="C89" s="188"/>
      <c r="D89" s="189"/>
      <c r="E89" s="190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</row>
    <row r="90" customFormat="false" ht="15" hidden="false" customHeight="true" outlineLevel="0" collapsed="false">
      <c r="A90" s="192" t="s">
        <v>240</v>
      </c>
      <c r="B90" s="137"/>
      <c r="C90" s="137"/>
      <c r="D90" s="137"/>
      <c r="E90" s="137"/>
      <c r="F90" s="185"/>
      <c r="G90" s="185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</row>
    <row r="91" customFormat="false" ht="15" hidden="false" customHeight="true" outlineLevel="0" collapsed="false">
      <c r="A91" s="192" t="s">
        <v>241</v>
      </c>
      <c r="B91" s="137"/>
      <c r="C91" s="137"/>
      <c r="D91" s="137"/>
      <c r="E91" s="137"/>
      <c r="F91" s="185"/>
      <c r="G91" s="185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</row>
    <row r="92" customFormat="false" ht="9.75" hidden="false" customHeight="true" outlineLevel="0" collapsed="false">
      <c r="A92" s="85"/>
      <c r="B92" s="164"/>
      <c r="C92" s="164"/>
      <c r="D92" s="164"/>
      <c r="E92" s="164"/>
      <c r="F92" s="193"/>
      <c r="G92" s="193"/>
      <c r="H92" s="164"/>
      <c r="I92" s="164"/>
      <c r="J92" s="164"/>
      <c r="K92" s="164"/>
      <c r="L92" s="164"/>
      <c r="M92" s="164"/>
      <c r="N92" s="164"/>
      <c r="O92" s="164"/>
      <c r="P92" s="164"/>
      <c r="Q92" s="137"/>
      <c r="R92" s="137"/>
      <c r="S92" s="137"/>
      <c r="T92" s="137"/>
      <c r="U92" s="137"/>
      <c r="V92" s="137"/>
      <c r="W92" s="137"/>
      <c r="X92" s="137"/>
    </row>
    <row r="93" customFormat="false" ht="15" hidden="false" customHeight="true" outlineLevel="0" collapsed="false">
      <c r="A93" s="194" t="s">
        <v>242</v>
      </c>
      <c r="B93" s="195" t="s">
        <v>243</v>
      </c>
      <c r="C93" s="195"/>
      <c r="D93" s="195"/>
      <c r="E93" s="195"/>
      <c r="F93" s="195"/>
      <c r="G93" s="195" t="s">
        <v>244</v>
      </c>
      <c r="H93" s="195"/>
      <c r="I93" s="195"/>
      <c r="J93" s="196" t="s">
        <v>245</v>
      </c>
      <c r="K93" s="196"/>
      <c r="L93" s="196"/>
      <c r="M93" s="197" t="s">
        <v>242</v>
      </c>
      <c r="N93" s="198" t="s">
        <v>243</v>
      </c>
      <c r="O93" s="198"/>
      <c r="P93" s="198"/>
      <c r="Q93" s="198"/>
      <c r="R93" s="198"/>
      <c r="S93" s="195" t="s">
        <v>244</v>
      </c>
      <c r="T93" s="195"/>
      <c r="U93" s="195"/>
      <c r="V93" s="199" t="s">
        <v>245</v>
      </c>
      <c r="W93" s="199"/>
      <c r="X93" s="199"/>
    </row>
    <row r="94" customFormat="false" ht="15" hidden="false" customHeight="true" outlineLevel="0" collapsed="false">
      <c r="A94" s="200" t="n">
        <v>1</v>
      </c>
      <c r="B94" s="201" t="s">
        <v>246</v>
      </c>
      <c r="C94" s="201"/>
      <c r="D94" s="201"/>
      <c r="E94" s="201"/>
      <c r="F94" s="201"/>
      <c r="G94" s="201"/>
      <c r="H94" s="201"/>
      <c r="I94" s="201"/>
      <c r="J94" s="202"/>
      <c r="K94" s="202"/>
      <c r="L94" s="202"/>
      <c r="M94" s="203" t="n">
        <v>4</v>
      </c>
      <c r="N94" s="204" t="s">
        <v>246</v>
      </c>
      <c r="O94" s="204"/>
      <c r="P94" s="204"/>
      <c r="Q94" s="204"/>
      <c r="R94" s="204"/>
      <c r="S94" s="205"/>
      <c r="T94" s="205"/>
      <c r="U94" s="205"/>
      <c r="V94" s="206"/>
      <c r="W94" s="206"/>
      <c r="X94" s="206"/>
    </row>
    <row r="95" customFormat="false" ht="15" hidden="false" customHeight="true" outlineLevel="0" collapsed="false">
      <c r="A95" s="200" t="n">
        <v>2</v>
      </c>
      <c r="B95" s="201" t="s">
        <v>246</v>
      </c>
      <c r="C95" s="201"/>
      <c r="D95" s="201"/>
      <c r="E95" s="201"/>
      <c r="F95" s="201"/>
      <c r="G95" s="201"/>
      <c r="H95" s="201"/>
      <c r="I95" s="201"/>
      <c r="J95" s="202"/>
      <c r="K95" s="202"/>
      <c r="L95" s="202"/>
      <c r="M95" s="203" t="n">
        <v>5</v>
      </c>
      <c r="N95" s="204" t="s">
        <v>246</v>
      </c>
      <c r="O95" s="204"/>
      <c r="P95" s="204"/>
      <c r="Q95" s="204"/>
      <c r="R95" s="204"/>
      <c r="S95" s="205"/>
      <c r="T95" s="205"/>
      <c r="U95" s="205"/>
      <c r="V95" s="206"/>
      <c r="W95" s="206"/>
      <c r="X95" s="206"/>
    </row>
    <row r="96" customFormat="false" ht="15" hidden="false" customHeight="true" outlineLevel="0" collapsed="false">
      <c r="A96" s="207" t="n">
        <v>3</v>
      </c>
      <c r="B96" s="208" t="s">
        <v>246</v>
      </c>
      <c r="C96" s="208"/>
      <c r="D96" s="208"/>
      <c r="E96" s="208"/>
      <c r="F96" s="208"/>
      <c r="G96" s="208"/>
      <c r="H96" s="208"/>
      <c r="I96" s="208"/>
      <c r="J96" s="209"/>
      <c r="K96" s="209"/>
      <c r="L96" s="209"/>
      <c r="M96" s="210" t="n">
        <v>6</v>
      </c>
      <c r="N96" s="211" t="s">
        <v>246</v>
      </c>
      <c r="O96" s="211"/>
      <c r="P96" s="211"/>
      <c r="Q96" s="211"/>
      <c r="R96" s="211"/>
      <c r="S96" s="212"/>
      <c r="T96" s="212"/>
      <c r="U96" s="212"/>
      <c r="V96" s="213"/>
      <c r="W96" s="213"/>
      <c r="X96" s="213"/>
    </row>
    <row r="97" customFormat="false" ht="9.75" hidden="false" customHeight="true" outlineLevel="0" collapsed="false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49"/>
      <c r="U97" s="149"/>
      <c r="V97" s="149"/>
      <c r="W97" s="149"/>
      <c r="X97" s="149"/>
    </row>
    <row r="98" customFormat="false" ht="18.75" hidden="false" customHeight="true" outlineLevel="0" collapsed="false">
      <c r="A98" s="124" t="s">
        <v>82</v>
      </c>
    </row>
    <row r="99" customFormat="false" ht="33.75" hidden="false" customHeight="true" outlineLevel="0" collapsed="false">
      <c r="A99" s="214"/>
      <c r="B99" s="214"/>
      <c r="C99" s="214"/>
      <c r="D99" s="214"/>
      <c r="E99" s="214"/>
      <c r="F99" s="125" t="s">
        <v>247</v>
      </c>
      <c r="G99" s="125"/>
      <c r="H99" s="125"/>
      <c r="I99" s="125"/>
      <c r="J99" s="125"/>
      <c r="K99" s="125"/>
      <c r="L99" s="125"/>
      <c r="M99" s="125"/>
      <c r="N99" s="126" t="s">
        <v>248</v>
      </c>
      <c r="O99" s="126"/>
      <c r="P99" s="126"/>
      <c r="Q99" s="126"/>
      <c r="R99" s="126"/>
      <c r="S99" s="126"/>
      <c r="T99" s="126"/>
      <c r="U99" s="126"/>
      <c r="V99" s="126"/>
      <c r="W99" s="126"/>
      <c r="X99" s="126"/>
    </row>
    <row r="100" customFormat="false" ht="22.5" hidden="false" customHeight="true" outlineLevel="0" collapsed="false">
      <c r="A100" s="127" t="s">
        <v>85</v>
      </c>
      <c r="B100" s="127"/>
      <c r="C100" s="127"/>
      <c r="D100" s="127"/>
      <c r="E100" s="128" t="s">
        <v>2</v>
      </c>
      <c r="F100" s="128"/>
      <c r="G100" s="128"/>
      <c r="H100" s="128"/>
      <c r="I100" s="128"/>
      <c r="J100" s="128"/>
      <c r="K100" s="128"/>
      <c r="L100" s="129" t="s">
        <v>86</v>
      </c>
      <c r="M100" s="129"/>
      <c r="N100" s="129"/>
      <c r="O100" s="129"/>
      <c r="P100" s="129"/>
      <c r="Q100" s="130" t="s">
        <v>87</v>
      </c>
      <c r="R100" s="130"/>
      <c r="S100" s="130"/>
      <c r="T100" s="130"/>
      <c r="U100" s="130"/>
      <c r="V100" s="130"/>
      <c r="W100" s="130"/>
      <c r="X100" s="130"/>
    </row>
    <row r="101" customFormat="false" ht="22.5" hidden="false" customHeight="true" outlineLevel="0" collapsed="false">
      <c r="A101" s="131" t="s">
        <v>88</v>
      </c>
      <c r="B101" s="131"/>
      <c r="C101" s="131"/>
      <c r="D101" s="131"/>
      <c r="E101" s="132" t="s">
        <v>6</v>
      </c>
      <c r="F101" s="132"/>
      <c r="G101" s="132"/>
      <c r="H101" s="132"/>
      <c r="I101" s="132"/>
      <c r="J101" s="132"/>
      <c r="K101" s="132"/>
      <c r="L101" s="132" t="s">
        <v>89</v>
      </c>
      <c r="M101" s="132"/>
      <c r="N101" s="132"/>
      <c r="O101" s="132"/>
      <c r="P101" s="132"/>
      <c r="Q101" s="133" t="s">
        <v>90</v>
      </c>
      <c r="R101" s="133"/>
      <c r="S101" s="133"/>
      <c r="T101" s="134" t="s">
        <v>52</v>
      </c>
      <c r="U101" s="135" t="s">
        <v>91</v>
      </c>
      <c r="V101" s="135"/>
      <c r="W101" s="135"/>
      <c r="X101" s="136" t="s">
        <v>49</v>
      </c>
    </row>
    <row r="102" customFormat="false" ht="16.5" hidden="false" customHeight="true" outlineLevel="0" collapsed="false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8"/>
      <c r="M102" s="138"/>
      <c r="N102" s="138"/>
      <c r="O102" s="138"/>
      <c r="P102" s="138"/>
      <c r="Q102" s="138"/>
      <c r="R102" s="138"/>
      <c r="S102" s="138" t="s">
        <v>249</v>
      </c>
      <c r="T102" s="138"/>
      <c r="U102" s="138"/>
      <c r="V102" s="138"/>
      <c r="W102" s="138"/>
      <c r="X102" s="138"/>
    </row>
    <row r="103" customFormat="false" ht="15" hidden="false" customHeight="true" outlineLevel="0" collapsed="false">
      <c r="A103" s="215" t="s">
        <v>101</v>
      </c>
      <c r="B103" s="216"/>
      <c r="C103" s="216"/>
      <c r="D103" s="216"/>
      <c r="E103" s="217"/>
      <c r="F103" s="218"/>
      <c r="G103" s="137"/>
      <c r="H103" s="137"/>
      <c r="I103" s="137"/>
      <c r="J103" s="137"/>
      <c r="K103" s="137"/>
      <c r="L103" s="137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</row>
    <row r="104" customFormat="false" ht="39.75" hidden="false" customHeight="true" outlineLevel="0" collapsed="false">
      <c r="A104" s="143" t="s">
        <v>102</v>
      </c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4" t="s">
        <v>103</v>
      </c>
      <c r="Q104" s="144"/>
      <c r="R104" s="144"/>
      <c r="S104" s="144"/>
      <c r="T104" s="144" t="s">
        <v>104</v>
      </c>
      <c r="U104" s="144"/>
      <c r="V104" s="144"/>
      <c r="W104" s="144"/>
      <c r="X104" s="144"/>
    </row>
    <row r="105" customFormat="false" ht="78.75" hidden="false" customHeight="true" outlineLevel="0" collapsed="false">
      <c r="A105" s="219" t="s">
        <v>250</v>
      </c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20" t="s">
        <v>110</v>
      </c>
      <c r="Q105" s="220"/>
      <c r="R105" s="220"/>
      <c r="S105" s="220"/>
      <c r="T105" s="147" t="s">
        <v>78</v>
      </c>
      <c r="U105" s="147"/>
      <c r="V105" s="147"/>
      <c r="W105" s="147"/>
      <c r="X105" s="147"/>
    </row>
    <row r="106" customFormat="false" ht="68.25" hidden="false" customHeight="true" outlineLevel="0" collapsed="false">
      <c r="A106" s="219" t="s">
        <v>251</v>
      </c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20" t="s">
        <v>108</v>
      </c>
      <c r="Q106" s="220"/>
      <c r="R106" s="220"/>
      <c r="S106" s="220"/>
      <c r="T106" s="147" t="s">
        <v>78</v>
      </c>
      <c r="U106" s="147"/>
      <c r="V106" s="147"/>
      <c r="W106" s="147"/>
      <c r="X106" s="147"/>
    </row>
    <row r="107" customFormat="false" ht="61.5" hidden="false" customHeight="true" outlineLevel="0" collapsed="false">
      <c r="A107" s="219" t="s">
        <v>252</v>
      </c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20" t="s">
        <v>108</v>
      </c>
      <c r="Q107" s="220"/>
      <c r="R107" s="220"/>
      <c r="S107" s="220"/>
      <c r="T107" s="147" t="s">
        <v>78</v>
      </c>
      <c r="U107" s="147"/>
      <c r="V107" s="147"/>
      <c r="W107" s="147"/>
      <c r="X107" s="147"/>
    </row>
    <row r="108" customFormat="false" ht="21.75" hidden="false" customHeight="true" outlineLevel="0" collapsed="false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48" t="s">
        <v>111</v>
      </c>
      <c r="Q108" s="148"/>
      <c r="R108" s="148"/>
      <c r="S108" s="148"/>
      <c r="T108" s="147" t="s">
        <v>78</v>
      </c>
      <c r="U108" s="147"/>
      <c r="V108" s="147"/>
      <c r="W108" s="147"/>
      <c r="X108" s="147"/>
    </row>
    <row r="109" customFormat="false" ht="18.75" hidden="false" customHeight="true" outlineLevel="0" collapsed="false">
      <c r="A109" s="124" t="s">
        <v>82</v>
      </c>
    </row>
    <row r="110" customFormat="false" ht="33.75" hidden="false" customHeight="true" outlineLevel="0" collapsed="false">
      <c r="A110" s="214"/>
      <c r="B110" s="214"/>
      <c r="C110" s="214"/>
      <c r="D110" s="214"/>
      <c r="E110" s="214"/>
      <c r="F110" s="125" t="s">
        <v>253</v>
      </c>
      <c r="G110" s="125"/>
      <c r="H110" s="125"/>
      <c r="I110" s="125"/>
      <c r="J110" s="125"/>
      <c r="K110" s="125"/>
      <c r="L110" s="125"/>
      <c r="M110" s="125"/>
      <c r="N110" s="126" t="s">
        <v>248</v>
      </c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</row>
    <row r="111" customFormat="false" ht="22.5" hidden="false" customHeight="true" outlineLevel="0" collapsed="false">
      <c r="A111" s="127" t="s">
        <v>85</v>
      </c>
      <c r="B111" s="127"/>
      <c r="C111" s="127"/>
      <c r="D111" s="127"/>
      <c r="E111" s="128" t="s">
        <v>2</v>
      </c>
      <c r="F111" s="128"/>
      <c r="G111" s="128"/>
      <c r="H111" s="128"/>
      <c r="I111" s="128"/>
      <c r="J111" s="128"/>
      <c r="K111" s="128"/>
      <c r="L111" s="129" t="s">
        <v>86</v>
      </c>
      <c r="M111" s="129"/>
      <c r="N111" s="129"/>
      <c r="O111" s="129"/>
      <c r="P111" s="129"/>
      <c r="Q111" s="130" t="s">
        <v>87</v>
      </c>
      <c r="R111" s="130"/>
      <c r="S111" s="130"/>
      <c r="T111" s="130"/>
      <c r="U111" s="130"/>
      <c r="V111" s="130"/>
      <c r="W111" s="130"/>
      <c r="X111" s="130"/>
    </row>
    <row r="112" customFormat="false" ht="22.5" hidden="false" customHeight="true" outlineLevel="0" collapsed="false">
      <c r="A112" s="131" t="s">
        <v>88</v>
      </c>
      <c r="B112" s="131"/>
      <c r="C112" s="131"/>
      <c r="D112" s="131"/>
      <c r="E112" s="132" t="s">
        <v>6</v>
      </c>
      <c r="F112" s="132"/>
      <c r="G112" s="132"/>
      <c r="H112" s="132"/>
      <c r="I112" s="132"/>
      <c r="J112" s="132"/>
      <c r="K112" s="132"/>
      <c r="L112" s="132" t="s">
        <v>89</v>
      </c>
      <c r="M112" s="132"/>
      <c r="N112" s="132"/>
      <c r="O112" s="132"/>
      <c r="P112" s="132"/>
      <c r="Q112" s="133" t="s">
        <v>90</v>
      </c>
      <c r="R112" s="133"/>
      <c r="S112" s="133"/>
      <c r="T112" s="134" t="s">
        <v>52</v>
      </c>
      <c r="U112" s="135" t="s">
        <v>91</v>
      </c>
      <c r="V112" s="135"/>
      <c r="W112" s="135"/>
      <c r="X112" s="136" t="s">
        <v>49</v>
      </c>
    </row>
    <row r="113" customFormat="false" ht="14.25" hidden="false" customHeight="true" outlineLevel="0" collapsed="false">
      <c r="A113" s="221"/>
      <c r="B113" s="221"/>
      <c r="C113" s="221"/>
      <c r="D113" s="221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3"/>
      <c r="R113" s="224"/>
      <c r="S113" s="224"/>
      <c r="T113" s="225"/>
      <c r="U113" s="226"/>
      <c r="V113" s="224"/>
      <c r="W113" s="224"/>
      <c r="X113" s="225"/>
    </row>
    <row r="114" customFormat="false" ht="15" hidden="false" customHeight="true" outlineLevel="0" collapsed="false">
      <c r="A114" s="151" t="s">
        <v>113</v>
      </c>
      <c r="B114" s="152"/>
      <c r="C114" s="152"/>
      <c r="D114" s="152"/>
      <c r="E114" s="153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5" t="s">
        <v>114</v>
      </c>
      <c r="V114" s="155"/>
      <c r="W114" s="155"/>
      <c r="X114" s="155"/>
    </row>
    <row r="115" customFormat="false" ht="15" hidden="false" customHeight="true" outlineLevel="0" collapsed="false">
      <c r="A115" s="227" t="s">
        <v>254</v>
      </c>
      <c r="B115" s="157"/>
      <c r="C115" s="157"/>
      <c r="D115" s="157"/>
      <c r="E115" s="157"/>
      <c r="F115" s="228"/>
      <c r="G115" s="137"/>
      <c r="H115" s="137"/>
      <c r="I115" s="137"/>
      <c r="J115" s="137"/>
      <c r="K115" s="137"/>
      <c r="L115" s="228"/>
      <c r="M115" s="158"/>
      <c r="N115" s="228"/>
      <c r="O115" s="228"/>
      <c r="P115" s="137"/>
      <c r="Q115" s="158"/>
      <c r="R115" s="159" t="s">
        <v>116</v>
      </c>
      <c r="S115" s="158"/>
      <c r="T115" s="137"/>
      <c r="U115" s="229"/>
      <c r="V115" s="229"/>
      <c r="W115" s="229"/>
      <c r="X115" s="229"/>
    </row>
    <row r="116" customFormat="false" ht="15" hidden="false" customHeight="true" outlineLevel="0" collapsed="false">
      <c r="A116" s="227" t="s">
        <v>255</v>
      </c>
      <c r="B116" s="157"/>
      <c r="C116" s="157"/>
      <c r="D116" s="157"/>
      <c r="E116" s="157"/>
      <c r="F116" s="228"/>
      <c r="G116" s="137"/>
      <c r="H116" s="137"/>
      <c r="I116" s="137"/>
      <c r="J116" s="137"/>
      <c r="K116" s="137"/>
      <c r="L116" s="228"/>
      <c r="M116" s="158"/>
      <c r="N116" s="228"/>
      <c r="O116" s="228"/>
      <c r="P116" s="137"/>
      <c r="Q116" s="158"/>
      <c r="R116" s="159" t="s">
        <v>116</v>
      </c>
      <c r="S116" s="158"/>
      <c r="T116" s="137"/>
      <c r="U116" s="229"/>
      <c r="V116" s="229"/>
      <c r="W116" s="229"/>
      <c r="X116" s="229"/>
    </row>
    <row r="117" customFormat="false" ht="15" hidden="false" customHeight="true" outlineLevel="0" collapsed="false">
      <c r="A117" s="227" t="s">
        <v>256</v>
      </c>
      <c r="B117" s="157"/>
      <c r="C117" s="157"/>
      <c r="D117" s="157"/>
      <c r="E117" s="157"/>
      <c r="F117" s="137"/>
      <c r="G117" s="137"/>
      <c r="H117" s="137"/>
      <c r="I117" s="137"/>
      <c r="J117" s="137"/>
      <c r="K117" s="137"/>
      <c r="L117" s="228"/>
      <c r="M117" s="158"/>
      <c r="N117" s="228"/>
      <c r="O117" s="228"/>
      <c r="P117" s="137"/>
      <c r="Q117" s="158"/>
      <c r="R117" s="159" t="s">
        <v>116</v>
      </c>
      <c r="S117" s="158"/>
      <c r="T117" s="137"/>
      <c r="U117" s="229"/>
      <c r="V117" s="229"/>
      <c r="W117" s="229"/>
      <c r="X117" s="229"/>
    </row>
    <row r="118" customFormat="false" ht="15" hidden="false" customHeight="true" outlineLevel="0" collapsed="false">
      <c r="A118" s="230" t="s">
        <v>257</v>
      </c>
      <c r="B118" s="164"/>
      <c r="C118" s="163"/>
      <c r="D118" s="163"/>
      <c r="E118" s="163"/>
      <c r="F118" s="164"/>
      <c r="G118" s="164"/>
      <c r="H118" s="164"/>
      <c r="I118" s="163"/>
      <c r="J118" s="164"/>
      <c r="K118" s="164"/>
      <c r="L118" s="231"/>
      <c r="M118" s="165"/>
      <c r="N118" s="231"/>
      <c r="O118" s="231"/>
      <c r="P118" s="164"/>
      <c r="Q118" s="231"/>
      <c r="R118" s="166" t="s">
        <v>116</v>
      </c>
      <c r="S118" s="165"/>
      <c r="T118" s="164"/>
      <c r="U118" s="229"/>
      <c r="V118" s="229"/>
      <c r="W118" s="229"/>
      <c r="X118" s="229"/>
    </row>
    <row r="121" customFormat="false" ht="15" hidden="false" customHeight="true" outlineLevel="0" collapsed="false">
      <c r="A121" s="232" t="s">
        <v>258</v>
      </c>
      <c r="B121" s="233"/>
      <c r="C121" s="233"/>
      <c r="D121" s="233"/>
      <c r="E121" s="233"/>
      <c r="F121" s="233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</row>
    <row r="122" customFormat="false" ht="19.5" hidden="false" customHeight="true" outlineLevel="0" collapsed="false">
      <c r="A122" s="234" t="s">
        <v>254</v>
      </c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</row>
    <row r="123" customFormat="false" ht="19.5" hidden="false" customHeight="true" outlineLevel="0" collapsed="false">
      <c r="A123" s="234" t="s">
        <v>255</v>
      </c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</row>
    <row r="124" customFormat="false" ht="19.5" hidden="false" customHeight="true" outlineLevel="0" collapsed="false">
      <c r="A124" s="234" t="s">
        <v>259</v>
      </c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</row>
    <row r="125" customFormat="false" ht="19.5" hidden="false" customHeight="true" outlineLevel="0" collapsed="false">
      <c r="A125" s="234" t="s">
        <v>257</v>
      </c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</row>
    <row r="126" customFormat="false" ht="9.75" hidden="false" customHeight="true" outlineLevel="0" collapsed="false">
      <c r="A126" s="235"/>
      <c r="B126" s="235"/>
      <c r="C126" s="235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2"/>
    </row>
    <row r="127" customFormat="false" ht="19.5" hidden="false" customHeight="true" outlineLevel="0" collapsed="false">
      <c r="A127" s="236" t="s">
        <v>124</v>
      </c>
      <c r="B127" s="236"/>
      <c r="C127" s="237" t="s">
        <v>260</v>
      </c>
      <c r="D127" s="237"/>
      <c r="E127" s="238" t="s">
        <v>261</v>
      </c>
      <c r="F127" s="239" t="s">
        <v>125</v>
      </c>
      <c r="G127" s="239"/>
      <c r="H127" s="239"/>
      <c r="I127" s="239"/>
      <c r="J127" s="240" t="s">
        <v>262</v>
      </c>
      <c r="K127" s="240"/>
      <c r="L127" s="240"/>
      <c r="M127" s="240"/>
      <c r="N127" s="240" t="s">
        <v>19</v>
      </c>
      <c r="O127" s="240"/>
      <c r="P127" s="240"/>
      <c r="Q127" s="240" t="s">
        <v>21</v>
      </c>
      <c r="R127" s="239" t="s">
        <v>263</v>
      </c>
      <c r="S127" s="239"/>
      <c r="T127" s="239"/>
      <c r="U127" s="240" t="s">
        <v>22</v>
      </c>
      <c r="V127" s="240"/>
      <c r="W127" s="241" t="s">
        <v>23</v>
      </c>
      <c r="X127" s="241"/>
    </row>
    <row r="128" customFormat="false" ht="15" hidden="false" customHeight="true" outlineLevel="0" collapsed="false">
      <c r="A128" s="242" t="s">
        <v>132</v>
      </c>
      <c r="B128" s="242"/>
      <c r="C128" s="243" t="s">
        <v>131</v>
      </c>
      <c r="D128" s="243"/>
      <c r="E128" s="244" t="s">
        <v>26</v>
      </c>
      <c r="F128" s="245" t="s">
        <v>134</v>
      </c>
      <c r="G128" s="245"/>
      <c r="H128" s="245"/>
      <c r="I128" s="245"/>
      <c r="J128" s="246" t="s">
        <v>137</v>
      </c>
      <c r="K128" s="246"/>
      <c r="L128" s="246"/>
      <c r="M128" s="246"/>
      <c r="N128" s="244" t="s">
        <v>264</v>
      </c>
      <c r="O128" s="244"/>
      <c r="P128" s="244"/>
      <c r="Q128" s="244" t="s">
        <v>26</v>
      </c>
      <c r="R128" s="247"/>
      <c r="S128" s="235"/>
      <c r="T128" s="248"/>
      <c r="U128" s="247"/>
      <c r="V128" s="248"/>
      <c r="W128" s="247"/>
      <c r="X128" s="235"/>
    </row>
    <row r="129" customFormat="false" ht="15" hidden="false" customHeight="true" outlineLevel="0" collapsed="false">
      <c r="A129" s="242" t="s">
        <v>132</v>
      </c>
      <c r="B129" s="242"/>
      <c r="C129" s="243" t="s">
        <v>139</v>
      </c>
      <c r="D129" s="243"/>
      <c r="E129" s="244" t="s">
        <v>26</v>
      </c>
      <c r="F129" s="245" t="s">
        <v>140</v>
      </c>
      <c r="G129" s="245"/>
      <c r="H129" s="245"/>
      <c r="I129" s="245"/>
      <c r="J129" s="246" t="s">
        <v>143</v>
      </c>
      <c r="K129" s="246"/>
      <c r="L129" s="246"/>
      <c r="M129" s="246"/>
      <c r="N129" s="244" t="s">
        <v>264</v>
      </c>
      <c r="O129" s="244"/>
      <c r="P129" s="244"/>
      <c r="Q129" s="244" t="s">
        <v>26</v>
      </c>
      <c r="R129" s="247"/>
      <c r="S129" s="235"/>
      <c r="T129" s="248"/>
      <c r="U129" s="247"/>
      <c r="V129" s="248"/>
      <c r="W129" s="247"/>
      <c r="X129" s="235"/>
    </row>
    <row r="130" customFormat="false" ht="15" hidden="false" customHeight="true" outlineLevel="0" collapsed="false">
      <c r="A130" s="242" t="s">
        <v>132</v>
      </c>
      <c r="B130" s="242"/>
      <c r="C130" s="243" t="s">
        <v>144</v>
      </c>
      <c r="D130" s="243"/>
      <c r="E130" s="244" t="s">
        <v>26</v>
      </c>
      <c r="F130" s="245" t="s">
        <v>145</v>
      </c>
      <c r="G130" s="245"/>
      <c r="H130" s="245"/>
      <c r="I130" s="245"/>
      <c r="J130" s="246" t="s">
        <v>148</v>
      </c>
      <c r="K130" s="246"/>
      <c r="L130" s="246"/>
      <c r="M130" s="246"/>
      <c r="N130" s="244" t="s">
        <v>264</v>
      </c>
      <c r="O130" s="244"/>
      <c r="P130" s="244"/>
      <c r="Q130" s="244" t="s">
        <v>26</v>
      </c>
      <c r="R130" s="247"/>
      <c r="S130" s="235"/>
      <c r="T130" s="248"/>
      <c r="U130" s="247"/>
      <c r="V130" s="248"/>
      <c r="W130" s="247"/>
      <c r="X130" s="235"/>
    </row>
    <row r="131" customFormat="false" ht="15" hidden="false" customHeight="true" outlineLevel="0" collapsed="false">
      <c r="A131" s="242" t="s">
        <v>132</v>
      </c>
      <c r="B131" s="242"/>
      <c r="C131" s="243" t="s">
        <v>149</v>
      </c>
      <c r="D131" s="243"/>
      <c r="E131" s="244" t="s">
        <v>26</v>
      </c>
      <c r="F131" s="245" t="s">
        <v>150</v>
      </c>
      <c r="G131" s="245"/>
      <c r="H131" s="245"/>
      <c r="I131" s="245"/>
      <c r="J131" s="246" t="s">
        <v>153</v>
      </c>
      <c r="K131" s="246"/>
      <c r="L131" s="246"/>
      <c r="M131" s="246"/>
      <c r="N131" s="244" t="s">
        <v>264</v>
      </c>
      <c r="O131" s="244"/>
      <c r="P131" s="244"/>
      <c r="Q131" s="244" t="s">
        <v>26</v>
      </c>
      <c r="R131" s="249"/>
      <c r="S131" s="225"/>
      <c r="T131" s="250"/>
      <c r="U131" s="249"/>
      <c r="V131" s="250"/>
      <c r="W131" s="249"/>
      <c r="X131" s="225"/>
    </row>
    <row r="132" customFormat="false" ht="15" hidden="false" customHeight="true" outlineLevel="0" collapsed="false">
      <c r="A132" s="242" t="s">
        <v>132</v>
      </c>
      <c r="B132" s="242"/>
      <c r="C132" s="243" t="s">
        <v>154</v>
      </c>
      <c r="D132" s="243"/>
      <c r="E132" s="244" t="s">
        <v>26</v>
      </c>
      <c r="F132" s="245" t="s">
        <v>155</v>
      </c>
      <c r="G132" s="245"/>
      <c r="H132" s="245"/>
      <c r="I132" s="245"/>
      <c r="J132" s="246" t="s">
        <v>158</v>
      </c>
      <c r="K132" s="246"/>
      <c r="L132" s="246"/>
      <c r="M132" s="246"/>
      <c r="N132" s="244" t="s">
        <v>264</v>
      </c>
      <c r="O132" s="244"/>
      <c r="P132" s="244"/>
      <c r="Q132" s="244" t="s">
        <v>26</v>
      </c>
      <c r="R132" s="249"/>
      <c r="S132" s="225"/>
      <c r="T132" s="250"/>
      <c r="U132" s="249"/>
      <c r="V132" s="250"/>
      <c r="W132" s="249"/>
      <c r="X132" s="225"/>
    </row>
    <row r="133" customFormat="false" ht="15" hidden="false" customHeight="true" outlineLevel="0" collapsed="false">
      <c r="A133" s="242" t="s">
        <v>132</v>
      </c>
      <c r="B133" s="242"/>
      <c r="C133" s="243" t="s">
        <v>159</v>
      </c>
      <c r="D133" s="243"/>
      <c r="E133" s="244" t="s">
        <v>26</v>
      </c>
      <c r="F133" s="245" t="s">
        <v>160</v>
      </c>
      <c r="G133" s="245"/>
      <c r="H133" s="245"/>
      <c r="I133" s="245"/>
      <c r="J133" s="246" t="s">
        <v>163</v>
      </c>
      <c r="K133" s="246"/>
      <c r="L133" s="246"/>
      <c r="M133" s="246"/>
      <c r="N133" s="244" t="s">
        <v>264</v>
      </c>
      <c r="O133" s="244"/>
      <c r="P133" s="244"/>
      <c r="Q133" s="244" t="s">
        <v>26</v>
      </c>
      <c r="R133" s="247"/>
      <c r="S133" s="235"/>
      <c r="T133" s="248"/>
      <c r="U133" s="247"/>
      <c r="V133" s="248"/>
      <c r="W133" s="247"/>
      <c r="X133" s="235"/>
    </row>
    <row r="134" customFormat="false" ht="15" hidden="false" customHeight="true" outlineLevel="0" collapsed="false">
      <c r="A134" s="242" t="s">
        <v>132</v>
      </c>
      <c r="B134" s="242"/>
      <c r="C134" s="243" t="s">
        <v>164</v>
      </c>
      <c r="D134" s="243"/>
      <c r="E134" s="244" t="s">
        <v>26</v>
      </c>
      <c r="F134" s="245" t="s">
        <v>165</v>
      </c>
      <c r="G134" s="245"/>
      <c r="H134" s="245"/>
      <c r="I134" s="245"/>
      <c r="J134" s="246" t="s">
        <v>168</v>
      </c>
      <c r="K134" s="246"/>
      <c r="L134" s="246"/>
      <c r="M134" s="246"/>
      <c r="N134" s="244" t="s">
        <v>264</v>
      </c>
      <c r="O134" s="244"/>
      <c r="P134" s="244"/>
      <c r="Q134" s="244" t="s">
        <v>26</v>
      </c>
      <c r="R134" s="247"/>
      <c r="S134" s="235"/>
      <c r="T134" s="248"/>
      <c r="U134" s="247"/>
      <c r="V134" s="248"/>
      <c r="W134" s="247"/>
      <c r="X134" s="235"/>
    </row>
    <row r="135" customFormat="false" ht="15" hidden="false" customHeight="true" outlineLevel="0" collapsed="false">
      <c r="A135" s="242" t="s">
        <v>132</v>
      </c>
      <c r="B135" s="242"/>
      <c r="C135" s="243" t="s">
        <v>169</v>
      </c>
      <c r="D135" s="243"/>
      <c r="E135" s="244" t="s">
        <v>26</v>
      </c>
      <c r="F135" s="245" t="s">
        <v>170</v>
      </c>
      <c r="G135" s="245"/>
      <c r="H135" s="245"/>
      <c r="I135" s="245"/>
      <c r="J135" s="246" t="s">
        <v>173</v>
      </c>
      <c r="K135" s="246"/>
      <c r="L135" s="246"/>
      <c r="M135" s="246"/>
      <c r="N135" s="244" t="s">
        <v>264</v>
      </c>
      <c r="O135" s="244"/>
      <c r="P135" s="244"/>
      <c r="Q135" s="244" t="s">
        <v>26</v>
      </c>
      <c r="R135" s="247"/>
      <c r="S135" s="235"/>
      <c r="T135" s="248"/>
      <c r="U135" s="247"/>
      <c r="V135" s="248"/>
      <c r="W135" s="247"/>
      <c r="X135" s="235"/>
    </row>
    <row r="136" customFormat="false" ht="15" hidden="false" customHeight="true" outlineLevel="0" collapsed="false">
      <c r="A136" s="242" t="s">
        <v>132</v>
      </c>
      <c r="B136" s="242"/>
      <c r="C136" s="243" t="s">
        <v>174</v>
      </c>
      <c r="D136" s="243"/>
      <c r="E136" s="244" t="s">
        <v>26</v>
      </c>
      <c r="F136" s="245" t="s">
        <v>175</v>
      </c>
      <c r="G136" s="245"/>
      <c r="H136" s="245"/>
      <c r="I136" s="245"/>
      <c r="J136" s="246" t="s">
        <v>178</v>
      </c>
      <c r="K136" s="246"/>
      <c r="L136" s="246"/>
      <c r="M136" s="246"/>
      <c r="N136" s="244" t="s">
        <v>264</v>
      </c>
      <c r="O136" s="244"/>
      <c r="P136" s="244"/>
      <c r="Q136" s="244" t="s">
        <v>26</v>
      </c>
      <c r="R136" s="249"/>
      <c r="S136" s="225"/>
      <c r="T136" s="250"/>
      <c r="U136" s="249"/>
      <c r="V136" s="250"/>
      <c r="W136" s="249"/>
      <c r="X136" s="225"/>
    </row>
    <row r="137" customFormat="false" ht="15" hidden="false" customHeight="true" outlineLevel="0" collapsed="false">
      <c r="A137" s="242" t="s">
        <v>132</v>
      </c>
      <c r="B137" s="242"/>
      <c r="C137" s="243" t="s">
        <v>179</v>
      </c>
      <c r="D137" s="243"/>
      <c r="E137" s="244" t="s">
        <v>26</v>
      </c>
      <c r="F137" s="245" t="s">
        <v>180</v>
      </c>
      <c r="G137" s="245"/>
      <c r="H137" s="245"/>
      <c r="I137" s="245"/>
      <c r="J137" s="246" t="s">
        <v>137</v>
      </c>
      <c r="K137" s="246"/>
      <c r="L137" s="246"/>
      <c r="M137" s="246"/>
      <c r="N137" s="244" t="s">
        <v>264</v>
      </c>
      <c r="O137" s="244"/>
      <c r="P137" s="244"/>
      <c r="Q137" s="244" t="s">
        <v>26</v>
      </c>
      <c r="R137" s="249"/>
      <c r="S137" s="225"/>
      <c r="T137" s="250"/>
      <c r="U137" s="249"/>
      <c r="V137" s="250"/>
      <c r="W137" s="249"/>
      <c r="X137" s="225"/>
    </row>
    <row r="138" customFormat="false" ht="15" hidden="false" customHeight="true" outlineLevel="0" collapsed="false">
      <c r="A138" s="242" t="s">
        <v>182</v>
      </c>
      <c r="B138" s="242"/>
      <c r="C138" s="243" t="s">
        <v>181</v>
      </c>
      <c r="D138" s="243"/>
      <c r="E138" s="244" t="s">
        <v>26</v>
      </c>
      <c r="F138" s="245" t="s">
        <v>183</v>
      </c>
      <c r="G138" s="245"/>
      <c r="H138" s="245"/>
      <c r="I138" s="245"/>
      <c r="J138" s="246" t="s">
        <v>137</v>
      </c>
      <c r="K138" s="246"/>
      <c r="L138" s="246"/>
      <c r="M138" s="246"/>
      <c r="N138" s="244" t="s">
        <v>264</v>
      </c>
      <c r="O138" s="244"/>
      <c r="P138" s="244"/>
      <c r="Q138" s="244" t="s">
        <v>26</v>
      </c>
      <c r="R138" s="247"/>
      <c r="S138" s="235"/>
      <c r="T138" s="248"/>
      <c r="U138" s="247"/>
      <c r="V138" s="248"/>
      <c r="W138" s="247"/>
      <c r="X138" s="235"/>
    </row>
    <row r="139" customFormat="false" ht="15" hidden="false" customHeight="true" outlineLevel="0" collapsed="false">
      <c r="A139" s="242" t="s">
        <v>132</v>
      </c>
      <c r="B139" s="242"/>
      <c r="C139" s="243" t="s">
        <v>184</v>
      </c>
      <c r="D139" s="243"/>
      <c r="E139" s="244" t="s">
        <v>26</v>
      </c>
      <c r="F139" s="245" t="s">
        <v>185</v>
      </c>
      <c r="G139" s="245"/>
      <c r="H139" s="245"/>
      <c r="I139" s="245"/>
      <c r="J139" s="246" t="s">
        <v>137</v>
      </c>
      <c r="K139" s="246"/>
      <c r="L139" s="246"/>
      <c r="M139" s="246"/>
      <c r="N139" s="244" t="s">
        <v>264</v>
      </c>
      <c r="O139" s="244"/>
      <c r="P139" s="244"/>
      <c r="Q139" s="244" t="s">
        <v>26</v>
      </c>
      <c r="R139" s="247"/>
      <c r="S139" s="235"/>
      <c r="T139" s="248"/>
      <c r="U139" s="247"/>
      <c r="V139" s="248"/>
      <c r="W139" s="247"/>
      <c r="X139" s="235"/>
    </row>
    <row r="140" customFormat="false" ht="15" hidden="false" customHeight="true" outlineLevel="0" collapsed="false">
      <c r="A140" s="242" t="s">
        <v>182</v>
      </c>
      <c r="B140" s="242"/>
      <c r="C140" s="243" t="s">
        <v>186</v>
      </c>
      <c r="D140" s="243"/>
      <c r="E140" s="244" t="s">
        <v>26</v>
      </c>
      <c r="F140" s="245" t="s">
        <v>187</v>
      </c>
      <c r="G140" s="245"/>
      <c r="H140" s="245"/>
      <c r="I140" s="245"/>
      <c r="J140" s="246" t="s">
        <v>137</v>
      </c>
      <c r="K140" s="246"/>
      <c r="L140" s="246"/>
      <c r="M140" s="246"/>
      <c r="N140" s="244" t="s">
        <v>264</v>
      </c>
      <c r="O140" s="244"/>
      <c r="P140" s="244"/>
      <c r="Q140" s="244" t="s">
        <v>26</v>
      </c>
      <c r="R140" s="249"/>
      <c r="S140" s="225"/>
      <c r="T140" s="250"/>
      <c r="U140" s="249"/>
      <c r="V140" s="250"/>
      <c r="W140" s="249"/>
      <c r="X140" s="225"/>
    </row>
    <row r="141" customFormat="false" ht="15" hidden="false" customHeight="true" outlineLevel="0" collapsed="false">
      <c r="A141" s="242" t="s">
        <v>132</v>
      </c>
      <c r="B141" s="242"/>
      <c r="C141" s="243" t="s">
        <v>188</v>
      </c>
      <c r="D141" s="243"/>
      <c r="E141" s="244" t="s">
        <v>26</v>
      </c>
      <c r="F141" s="245" t="s">
        <v>189</v>
      </c>
      <c r="G141" s="245"/>
      <c r="H141" s="245"/>
      <c r="I141" s="245"/>
      <c r="J141" s="246" t="s">
        <v>192</v>
      </c>
      <c r="K141" s="246"/>
      <c r="L141" s="246"/>
      <c r="M141" s="246"/>
      <c r="N141" s="244" t="s">
        <v>264</v>
      </c>
      <c r="O141" s="244"/>
      <c r="P141" s="244"/>
      <c r="Q141" s="244" t="s">
        <v>26</v>
      </c>
      <c r="R141" s="249"/>
      <c r="S141" s="225"/>
      <c r="T141" s="250"/>
      <c r="U141" s="249"/>
      <c r="V141" s="250"/>
      <c r="W141" s="249"/>
      <c r="X141" s="225"/>
    </row>
    <row r="142" customFormat="false" ht="15" hidden="false" customHeight="true" outlineLevel="0" collapsed="false">
      <c r="A142" s="242" t="s">
        <v>132</v>
      </c>
      <c r="B142" s="242"/>
      <c r="C142" s="243" t="s">
        <v>193</v>
      </c>
      <c r="D142" s="243"/>
      <c r="E142" s="244" t="s">
        <v>132</v>
      </c>
      <c r="F142" s="245" t="s">
        <v>194</v>
      </c>
      <c r="G142" s="245"/>
      <c r="H142" s="245"/>
      <c r="I142" s="245"/>
      <c r="J142" s="246" t="s">
        <v>195</v>
      </c>
      <c r="K142" s="246"/>
      <c r="L142" s="246"/>
      <c r="M142" s="246"/>
      <c r="N142" s="244" t="s">
        <v>264</v>
      </c>
      <c r="O142" s="244"/>
      <c r="P142" s="244"/>
      <c r="Q142" s="244" t="s">
        <v>26</v>
      </c>
      <c r="R142" s="247"/>
      <c r="S142" s="235"/>
      <c r="T142" s="248"/>
      <c r="U142" s="247"/>
      <c r="V142" s="248"/>
      <c r="W142" s="247"/>
      <c r="X142" s="235"/>
    </row>
    <row r="143" customFormat="false" ht="17.25" hidden="false" customHeight="true" outlineLevel="0" collapsed="false">
      <c r="A143" s="251" t="s">
        <v>235</v>
      </c>
      <c r="B143" s="251"/>
      <c r="C143" s="251"/>
      <c r="D143" s="251"/>
      <c r="E143" s="251"/>
      <c r="F143" s="251"/>
      <c r="G143" s="251"/>
      <c r="H143" s="251"/>
      <c r="I143" s="251"/>
      <c r="J143" s="252" t="s">
        <v>265</v>
      </c>
      <c r="K143" s="252"/>
      <c r="L143" s="252"/>
      <c r="M143" s="252"/>
      <c r="N143" s="253"/>
      <c r="O143" s="253"/>
      <c r="P143" s="253"/>
      <c r="Q143" s="253"/>
      <c r="R143" s="254"/>
      <c r="S143" s="255"/>
      <c r="T143" s="256"/>
      <c r="U143" s="254"/>
      <c r="V143" s="256"/>
      <c r="W143" s="254"/>
      <c r="X143" s="255"/>
    </row>
    <row r="144" customFormat="false" ht="9.75" hidden="false" customHeight="true" outlineLevel="0" collapsed="false">
      <c r="A144" s="222"/>
      <c r="B144" s="222"/>
      <c r="C144" s="222"/>
      <c r="D144" s="222"/>
      <c r="E144" s="222"/>
      <c r="F144" s="222"/>
      <c r="G144" s="222"/>
      <c r="H144" s="222"/>
      <c r="I144" s="222"/>
      <c r="J144" s="257"/>
      <c r="K144" s="257"/>
      <c r="L144" s="257"/>
      <c r="M144" s="257"/>
      <c r="N144" s="222"/>
      <c r="O144" s="222"/>
      <c r="P144" s="222"/>
      <c r="Q144" s="222"/>
      <c r="R144" s="258"/>
      <c r="S144" s="258"/>
      <c r="T144" s="258"/>
      <c r="U144" s="258"/>
      <c r="V144" s="258"/>
      <c r="W144" s="258"/>
      <c r="X144" s="258"/>
    </row>
    <row r="145" customFormat="false" ht="15" hidden="false" customHeight="true" outlineLevel="0" collapsed="false">
      <c r="A145" s="215" t="s">
        <v>266</v>
      </c>
      <c r="B145" s="216"/>
      <c r="C145" s="216"/>
      <c r="D145" s="217"/>
      <c r="E145" s="217"/>
      <c r="F145" s="218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</row>
    <row r="146" customFormat="false" ht="16.5" hidden="false" customHeight="true" outlineLevel="0" collapsed="false">
      <c r="A146" s="259" t="s">
        <v>267</v>
      </c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</row>
    <row r="147" customFormat="false" ht="16.5" hidden="false" customHeight="true" outlineLevel="0" collapsed="false">
      <c r="A147" s="259" t="s">
        <v>268</v>
      </c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1" t="s">
        <v>269</v>
      </c>
      <c r="M147" s="262"/>
      <c r="N147" s="262"/>
      <c r="O147" s="262"/>
      <c r="P147" s="263" t="s">
        <v>270</v>
      </c>
      <c r="Q147" s="260"/>
      <c r="R147" s="260"/>
      <c r="S147" s="260"/>
      <c r="T147" s="260"/>
      <c r="U147" s="260"/>
      <c r="V147" s="260"/>
      <c r="W147" s="260"/>
      <c r="X147" s="260"/>
    </row>
    <row r="148" customFormat="false" ht="16.5" hidden="false" customHeight="true" outlineLevel="0" collapsed="false">
      <c r="A148" s="259" t="s">
        <v>271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5" t="s">
        <v>23</v>
      </c>
      <c r="M148" s="265"/>
      <c r="N148" s="266"/>
      <c r="O148" s="266"/>
      <c r="P148" s="266"/>
      <c r="Q148" s="267" t="s">
        <v>272</v>
      </c>
      <c r="R148" s="267"/>
      <c r="S148" s="268"/>
      <c r="T148" s="268"/>
      <c r="U148" s="268"/>
      <c r="V148" s="268"/>
      <c r="W148" s="264"/>
      <c r="X148" s="264"/>
    </row>
    <row r="149" customFormat="false" ht="9.75" hidden="false" customHeight="true" outlineLevel="0" collapsed="false">
      <c r="A149" s="225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</row>
    <row r="150" customFormat="false" ht="18.75" hidden="false" customHeight="true" outlineLevel="0" collapsed="false">
      <c r="A150" s="124" t="s">
        <v>82</v>
      </c>
    </row>
    <row r="151" customFormat="false" ht="33.75" hidden="false" customHeight="true" outlineLevel="0" collapsed="false">
      <c r="A151" s="214"/>
      <c r="B151" s="214"/>
      <c r="C151" s="214"/>
      <c r="D151" s="214"/>
      <c r="E151" s="214"/>
      <c r="F151" s="125" t="s">
        <v>273</v>
      </c>
      <c r="G151" s="125"/>
      <c r="H151" s="125"/>
      <c r="I151" s="125"/>
      <c r="J151" s="125"/>
      <c r="K151" s="125"/>
      <c r="L151" s="125"/>
      <c r="M151" s="125"/>
      <c r="N151" s="126" t="s">
        <v>248</v>
      </c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</row>
    <row r="152" customFormat="false" ht="22.5" hidden="false" customHeight="true" outlineLevel="0" collapsed="false">
      <c r="A152" s="127" t="s">
        <v>85</v>
      </c>
      <c r="B152" s="127"/>
      <c r="C152" s="127"/>
      <c r="D152" s="127"/>
      <c r="E152" s="128" t="s">
        <v>2</v>
      </c>
      <c r="F152" s="128"/>
      <c r="G152" s="128"/>
      <c r="H152" s="128"/>
      <c r="I152" s="128"/>
      <c r="J152" s="128"/>
      <c r="K152" s="128"/>
      <c r="L152" s="129" t="s">
        <v>86</v>
      </c>
      <c r="M152" s="129"/>
      <c r="N152" s="129"/>
      <c r="O152" s="129"/>
      <c r="P152" s="129"/>
      <c r="Q152" s="130" t="s">
        <v>87</v>
      </c>
      <c r="R152" s="130"/>
      <c r="S152" s="130"/>
      <c r="T152" s="130"/>
      <c r="U152" s="130"/>
      <c r="V152" s="130"/>
      <c r="W152" s="130"/>
      <c r="X152" s="130"/>
    </row>
    <row r="153" customFormat="false" ht="22.5" hidden="false" customHeight="true" outlineLevel="0" collapsed="false">
      <c r="A153" s="131" t="s">
        <v>88</v>
      </c>
      <c r="B153" s="131"/>
      <c r="C153" s="131"/>
      <c r="D153" s="131"/>
      <c r="E153" s="132" t="s">
        <v>6</v>
      </c>
      <c r="F153" s="132"/>
      <c r="G153" s="132"/>
      <c r="H153" s="132"/>
      <c r="I153" s="132"/>
      <c r="J153" s="132"/>
      <c r="K153" s="132"/>
      <c r="L153" s="132" t="s">
        <v>89</v>
      </c>
      <c r="M153" s="132"/>
      <c r="N153" s="132"/>
      <c r="O153" s="132"/>
      <c r="P153" s="132"/>
      <c r="Q153" s="133" t="s">
        <v>90</v>
      </c>
      <c r="R153" s="133"/>
      <c r="S153" s="133"/>
      <c r="T153" s="134" t="s">
        <v>52</v>
      </c>
      <c r="U153" s="135" t="s">
        <v>91</v>
      </c>
      <c r="V153" s="135"/>
      <c r="W153" s="135"/>
      <c r="X153" s="136" t="s">
        <v>49</v>
      </c>
    </row>
    <row r="154" customFormat="false" ht="14.25" hidden="false" customHeight="true" outlineLevel="0" collapsed="false">
      <c r="A154" s="221"/>
      <c r="B154" s="221"/>
      <c r="C154" s="221"/>
      <c r="D154" s="221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3"/>
      <c r="R154" s="224"/>
      <c r="S154" s="224"/>
      <c r="T154" s="225"/>
      <c r="U154" s="226"/>
      <c r="V154" s="224"/>
      <c r="W154" s="224"/>
      <c r="X154" s="225"/>
    </row>
    <row r="155" customFormat="false" ht="15" hidden="false" customHeight="true" outlineLevel="0" collapsed="false">
      <c r="A155" s="215" t="s">
        <v>274</v>
      </c>
      <c r="B155" s="269"/>
      <c r="C155" s="269"/>
      <c r="D155" s="269"/>
      <c r="E155" s="269"/>
      <c r="F155" s="269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</row>
    <row r="156" customFormat="false" ht="15" hidden="false" customHeight="true" outlineLevel="0" collapsed="false">
      <c r="A156" s="259" t="s">
        <v>275</v>
      </c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</row>
    <row r="157" customFormat="false" ht="15" hidden="false" customHeight="true" outlineLevel="0" collapsed="false">
      <c r="A157" s="259" t="s">
        <v>276</v>
      </c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</row>
    <row r="158" customFormat="false" ht="15" hidden="false" customHeight="true" outlineLevel="0" collapsed="false">
      <c r="A158" s="259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  <c r="P158" s="264"/>
      <c r="Q158" s="264"/>
      <c r="R158" s="264"/>
      <c r="S158" s="264"/>
      <c r="T158" s="264"/>
      <c r="U158" s="264"/>
      <c r="V158" s="264"/>
      <c r="W158" s="264"/>
      <c r="X158" s="264"/>
    </row>
    <row r="159" customFormat="false" ht="28.5" hidden="false" customHeight="true" outlineLevel="0" collapsed="false">
      <c r="A159" s="259"/>
      <c r="B159" s="270" t="s">
        <v>277</v>
      </c>
      <c r="C159" s="270"/>
      <c r="D159" s="270"/>
      <c r="E159" s="271"/>
      <c r="F159" s="271"/>
      <c r="G159" s="271"/>
      <c r="H159" s="272" t="s">
        <v>278</v>
      </c>
      <c r="I159" s="272"/>
      <c r="J159" s="272"/>
      <c r="K159" s="271"/>
      <c r="L159" s="271"/>
      <c r="M159" s="271"/>
      <c r="N159" s="271"/>
      <c r="O159" s="272" t="s">
        <v>279</v>
      </c>
      <c r="P159" s="272"/>
      <c r="Q159" s="272"/>
      <c r="R159" s="273"/>
      <c r="S159" s="273"/>
      <c r="T159" s="273"/>
      <c r="U159" s="273"/>
      <c r="V159" s="264"/>
      <c r="W159" s="264"/>
      <c r="X159" s="264"/>
    </row>
    <row r="160" customFormat="false" ht="15" hidden="false" customHeight="true" outlineLevel="0" collapsed="false">
      <c r="A160" s="259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  <c r="P160" s="264"/>
      <c r="Q160" s="264"/>
      <c r="R160" s="264"/>
      <c r="S160" s="264"/>
      <c r="T160" s="264"/>
      <c r="U160" s="264"/>
      <c r="V160" s="264"/>
      <c r="W160" s="264"/>
      <c r="X160" s="264"/>
    </row>
    <row r="161" customFormat="false" ht="15" hidden="false" customHeight="true" outlineLevel="0" collapsed="false">
      <c r="A161" s="274" t="s">
        <v>280</v>
      </c>
      <c r="B161" s="274"/>
      <c r="C161" s="274"/>
      <c r="D161" s="274"/>
      <c r="E161" s="239" t="s">
        <v>281</v>
      </c>
      <c r="F161" s="239"/>
      <c r="G161" s="239"/>
      <c r="H161" s="275" t="s">
        <v>282</v>
      </c>
      <c r="I161" s="275"/>
      <c r="J161" s="275"/>
      <c r="K161" s="275"/>
      <c r="L161" s="275"/>
      <c r="M161" s="275" t="s">
        <v>283</v>
      </c>
      <c r="N161" s="275"/>
      <c r="O161" s="275"/>
      <c r="P161" s="275" t="s">
        <v>284</v>
      </c>
      <c r="Q161" s="275"/>
      <c r="R161" s="275"/>
      <c r="S161" s="276" t="s">
        <v>22</v>
      </c>
      <c r="T161" s="276"/>
      <c r="U161" s="276" t="s">
        <v>23</v>
      </c>
      <c r="V161" s="276"/>
      <c r="W161" s="277" t="s">
        <v>285</v>
      </c>
      <c r="X161" s="277"/>
    </row>
    <row r="162" customFormat="false" ht="51" hidden="false" customHeight="true" outlineLevel="0" collapsed="false">
      <c r="A162" s="278" t="s">
        <v>286</v>
      </c>
      <c r="B162" s="278"/>
      <c r="C162" s="278"/>
      <c r="D162" s="278"/>
      <c r="E162" s="279" t="s">
        <v>287</v>
      </c>
      <c r="F162" s="279"/>
      <c r="G162" s="279"/>
      <c r="H162" s="280" t="s">
        <v>87</v>
      </c>
      <c r="I162" s="280"/>
      <c r="J162" s="280"/>
      <c r="K162" s="280"/>
      <c r="L162" s="280"/>
      <c r="M162" s="244"/>
      <c r="N162" s="244"/>
      <c r="O162" s="244"/>
      <c r="P162" s="244" t="s">
        <v>288</v>
      </c>
      <c r="Q162" s="244"/>
      <c r="R162" s="244"/>
      <c r="S162" s="244"/>
      <c r="T162" s="244"/>
      <c r="U162" s="281"/>
      <c r="V162" s="281"/>
      <c r="W162" s="282"/>
      <c r="X162" s="282"/>
    </row>
    <row r="163" customFormat="false" ht="18" hidden="false" customHeight="true" outlineLevel="0" collapsed="false">
      <c r="A163" s="278" t="s">
        <v>289</v>
      </c>
      <c r="B163" s="278"/>
      <c r="C163" s="278"/>
      <c r="D163" s="278"/>
      <c r="E163" s="279" t="s">
        <v>290</v>
      </c>
      <c r="F163" s="279"/>
      <c r="G163" s="279"/>
      <c r="H163" s="280" t="s">
        <v>291</v>
      </c>
      <c r="I163" s="280"/>
      <c r="J163" s="280"/>
      <c r="K163" s="280"/>
      <c r="L163" s="280"/>
      <c r="M163" s="244"/>
      <c r="N163" s="244"/>
      <c r="O163" s="244"/>
      <c r="P163" s="244" t="s">
        <v>288</v>
      </c>
      <c r="Q163" s="244"/>
      <c r="R163" s="244"/>
      <c r="S163" s="244"/>
      <c r="T163" s="244"/>
      <c r="U163" s="281"/>
      <c r="V163" s="281"/>
      <c r="W163" s="282"/>
      <c r="X163" s="282"/>
    </row>
    <row r="164" customFormat="false" ht="18" hidden="false" customHeight="true" outlineLevel="0" collapsed="false">
      <c r="A164" s="278" t="s">
        <v>292</v>
      </c>
      <c r="B164" s="278"/>
      <c r="C164" s="278"/>
      <c r="D164" s="278"/>
      <c r="E164" s="279" t="s">
        <v>293</v>
      </c>
      <c r="F164" s="279"/>
      <c r="G164" s="279"/>
      <c r="H164" s="280" t="s">
        <v>294</v>
      </c>
      <c r="I164" s="280"/>
      <c r="J164" s="280"/>
      <c r="K164" s="280"/>
      <c r="L164" s="280"/>
      <c r="M164" s="244"/>
      <c r="N164" s="244"/>
      <c r="O164" s="244"/>
      <c r="P164" s="244" t="s">
        <v>288</v>
      </c>
      <c r="Q164" s="244"/>
      <c r="R164" s="244"/>
      <c r="S164" s="244"/>
      <c r="T164" s="244"/>
      <c r="U164" s="281"/>
      <c r="V164" s="281"/>
      <c r="W164" s="282"/>
      <c r="X164" s="282"/>
    </row>
    <row r="165" customFormat="false" ht="18" hidden="false" customHeight="true" outlineLevel="0" collapsed="false">
      <c r="A165" s="278" t="s">
        <v>295</v>
      </c>
      <c r="B165" s="278"/>
      <c r="C165" s="278"/>
      <c r="D165" s="278"/>
      <c r="E165" s="279" t="s">
        <v>296</v>
      </c>
      <c r="F165" s="279"/>
      <c r="G165" s="279"/>
      <c r="H165" s="280" t="s">
        <v>297</v>
      </c>
      <c r="I165" s="280"/>
      <c r="J165" s="280"/>
      <c r="K165" s="280"/>
      <c r="L165" s="280"/>
      <c r="M165" s="244"/>
      <c r="N165" s="244"/>
      <c r="O165" s="244"/>
      <c r="P165" s="244" t="s">
        <v>288</v>
      </c>
      <c r="Q165" s="244"/>
      <c r="R165" s="244"/>
      <c r="S165" s="244"/>
      <c r="T165" s="244"/>
      <c r="U165" s="281"/>
      <c r="V165" s="281"/>
      <c r="W165" s="282"/>
      <c r="X165" s="282"/>
    </row>
    <row r="166" customFormat="false" ht="18" hidden="false" customHeight="true" outlineLevel="0" collapsed="false">
      <c r="A166" s="278" t="s">
        <v>298</v>
      </c>
      <c r="B166" s="278"/>
      <c r="C166" s="278"/>
      <c r="D166" s="278"/>
      <c r="E166" s="279" t="s">
        <v>299</v>
      </c>
      <c r="F166" s="279"/>
      <c r="G166" s="279"/>
      <c r="H166" s="280" t="s">
        <v>300</v>
      </c>
      <c r="I166" s="280"/>
      <c r="J166" s="280"/>
      <c r="K166" s="280"/>
      <c r="L166" s="280"/>
      <c r="M166" s="244"/>
      <c r="N166" s="244"/>
      <c r="O166" s="244"/>
      <c r="P166" s="244" t="s">
        <v>288</v>
      </c>
      <c r="Q166" s="244"/>
      <c r="R166" s="244"/>
      <c r="S166" s="244"/>
      <c r="T166" s="244"/>
      <c r="U166" s="281"/>
      <c r="V166" s="281"/>
      <c r="W166" s="282"/>
      <c r="X166" s="282"/>
    </row>
    <row r="167" customFormat="false" ht="18" hidden="false" customHeight="true" outlineLevel="0" collapsed="false">
      <c r="A167" s="278" t="s">
        <v>301</v>
      </c>
      <c r="B167" s="278"/>
      <c r="C167" s="278"/>
      <c r="D167" s="278"/>
      <c r="E167" s="279" t="s">
        <v>302</v>
      </c>
      <c r="F167" s="279"/>
      <c r="G167" s="279"/>
      <c r="H167" s="280" t="s">
        <v>300</v>
      </c>
      <c r="I167" s="280"/>
      <c r="J167" s="280"/>
      <c r="K167" s="280"/>
      <c r="L167" s="280"/>
      <c r="M167" s="244"/>
      <c r="N167" s="244"/>
      <c r="O167" s="244"/>
      <c r="P167" s="244" t="s">
        <v>288</v>
      </c>
      <c r="Q167" s="244"/>
      <c r="R167" s="244"/>
      <c r="S167" s="244"/>
      <c r="T167" s="244"/>
      <c r="U167" s="281"/>
      <c r="V167" s="281"/>
      <c r="W167" s="282"/>
      <c r="X167" s="282"/>
    </row>
    <row r="168" customFormat="false" ht="18" hidden="false" customHeight="true" outlineLevel="0" collapsed="false">
      <c r="A168" s="278" t="s">
        <v>303</v>
      </c>
      <c r="B168" s="278"/>
      <c r="C168" s="278"/>
      <c r="D168" s="278"/>
      <c r="E168" s="279" t="s">
        <v>304</v>
      </c>
      <c r="F168" s="279"/>
      <c r="G168" s="279"/>
      <c r="H168" s="280" t="s">
        <v>305</v>
      </c>
      <c r="I168" s="280"/>
      <c r="J168" s="280"/>
      <c r="K168" s="280"/>
      <c r="L168" s="280"/>
      <c r="M168" s="244"/>
      <c r="N168" s="244"/>
      <c r="O168" s="244"/>
      <c r="P168" s="244" t="s">
        <v>288</v>
      </c>
      <c r="Q168" s="244"/>
      <c r="R168" s="244"/>
      <c r="S168" s="244"/>
      <c r="T168" s="244"/>
      <c r="U168" s="281"/>
      <c r="V168" s="281"/>
      <c r="W168" s="282"/>
      <c r="X168" s="282"/>
    </row>
    <row r="169" customFormat="false" ht="15" hidden="false" customHeight="true" outlineLevel="0" collapsed="false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4"/>
      <c r="V169" s="284"/>
      <c r="W169" s="284"/>
      <c r="X169" s="284"/>
    </row>
    <row r="170" customFormat="false" ht="17.25" hidden="false" customHeight="true" outlineLevel="0" collapsed="false">
      <c r="A170" s="285" t="s">
        <v>306</v>
      </c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</row>
    <row r="171" customFormat="false" ht="28.5" hidden="false" customHeight="true" outlineLevel="0" collapsed="false">
      <c r="A171" s="286"/>
      <c r="B171" s="287" t="s">
        <v>307</v>
      </c>
      <c r="C171" s="287"/>
      <c r="D171" s="287"/>
      <c r="E171" s="288"/>
      <c r="F171" s="288"/>
      <c r="G171" s="288"/>
      <c r="H171" s="288"/>
      <c r="I171" s="265" t="s">
        <v>308</v>
      </c>
      <c r="J171" s="265"/>
      <c r="K171" s="265"/>
      <c r="L171" s="288"/>
      <c r="M171" s="288"/>
      <c r="N171" s="288"/>
      <c r="O171" s="288"/>
      <c r="P171" s="288"/>
      <c r="Q171" s="288"/>
      <c r="R171" s="289" t="s">
        <v>309</v>
      </c>
      <c r="S171" s="289"/>
      <c r="T171" s="289"/>
      <c r="U171" s="290"/>
      <c r="V171" s="290"/>
      <c r="W171" s="290"/>
      <c r="X171" s="137"/>
    </row>
    <row r="172" customFormat="false" ht="9.75" hidden="false" customHeight="true" outlineLevel="0" collapsed="false">
      <c r="A172" s="286"/>
      <c r="B172" s="138"/>
      <c r="C172" s="138"/>
      <c r="D172" s="138"/>
      <c r="E172" s="222"/>
      <c r="F172" s="222"/>
      <c r="G172" s="222"/>
      <c r="H172" s="222"/>
      <c r="I172" s="138"/>
      <c r="J172" s="138"/>
      <c r="K172" s="138"/>
      <c r="L172" s="222"/>
      <c r="M172" s="222"/>
      <c r="N172" s="222"/>
      <c r="O172" s="222"/>
      <c r="P172" s="222"/>
      <c r="Q172" s="222"/>
      <c r="R172" s="138"/>
      <c r="S172" s="138"/>
      <c r="T172" s="138"/>
      <c r="U172" s="185"/>
      <c r="V172" s="185"/>
      <c r="W172" s="185"/>
      <c r="X172" s="137"/>
    </row>
    <row r="173" customFormat="false" ht="17.25" hidden="false" customHeight="true" outlineLevel="0" collapsed="false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</row>
    <row r="174" customFormat="false" ht="15" hidden="false" customHeight="true" outlineLevel="0" collapsed="false">
      <c r="A174" s="215" t="s">
        <v>310</v>
      </c>
      <c r="B174" s="269"/>
      <c r="C174" s="269"/>
      <c r="D174" s="269"/>
      <c r="E174" s="269"/>
      <c r="F174" s="269"/>
      <c r="G174" s="269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</row>
    <row r="175" customFormat="false" ht="17.25" hidden="false" customHeight="true" outlineLevel="0" collapsed="false">
      <c r="A175" s="291" t="s">
        <v>311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3"/>
      <c r="P175" s="293"/>
      <c r="Q175" s="294"/>
      <c r="R175" s="295" t="s">
        <v>312</v>
      </c>
      <c r="S175" s="295"/>
      <c r="T175" s="295"/>
      <c r="U175" s="296" t="s">
        <v>22</v>
      </c>
      <c r="V175" s="296"/>
      <c r="W175" s="297" t="s">
        <v>23</v>
      </c>
      <c r="X175" s="297"/>
    </row>
    <row r="176" customFormat="false" ht="30" hidden="false" customHeight="true" outlineLevel="0" collapsed="false">
      <c r="A176" s="298"/>
      <c r="B176" s="299" t="s">
        <v>313</v>
      </c>
      <c r="C176" s="299"/>
      <c r="D176" s="299"/>
      <c r="E176" s="299"/>
      <c r="F176" s="299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1"/>
      <c r="S176" s="301"/>
      <c r="T176" s="301"/>
      <c r="U176" s="302"/>
      <c r="V176" s="302"/>
      <c r="W176" s="303"/>
      <c r="X176" s="303"/>
    </row>
    <row r="177" customFormat="false" ht="30" hidden="false" customHeight="true" outlineLevel="0" collapsed="false">
      <c r="A177" s="298"/>
      <c r="B177" s="304" t="s">
        <v>314</v>
      </c>
      <c r="C177" s="304"/>
      <c r="D177" s="304"/>
      <c r="E177" s="304"/>
      <c r="F177" s="304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1"/>
      <c r="S177" s="301"/>
      <c r="T177" s="301"/>
      <c r="U177" s="302"/>
      <c r="V177" s="302"/>
      <c r="W177" s="303"/>
      <c r="X177" s="303"/>
    </row>
    <row r="178" customFormat="false" ht="30" hidden="false" customHeight="true" outlineLevel="0" collapsed="false">
      <c r="A178" s="298"/>
      <c r="B178" s="306" t="s">
        <v>315</v>
      </c>
      <c r="C178" s="306"/>
      <c r="D178" s="307" t="s">
        <v>316</v>
      </c>
      <c r="E178" s="307"/>
      <c r="F178" s="307"/>
      <c r="G178" s="308"/>
      <c r="H178" s="308"/>
      <c r="I178" s="308"/>
      <c r="J178" s="308"/>
      <c r="K178" s="308"/>
      <c r="L178" s="308"/>
      <c r="M178" s="309" t="s">
        <v>317</v>
      </c>
      <c r="N178" s="309"/>
      <c r="O178" s="309"/>
      <c r="P178" s="309"/>
      <c r="Q178" s="309"/>
      <c r="R178" s="301"/>
      <c r="S178" s="301"/>
      <c r="T178" s="301"/>
      <c r="U178" s="302"/>
      <c r="V178" s="302"/>
      <c r="W178" s="303"/>
      <c r="X178" s="303"/>
    </row>
    <row r="179" customFormat="false" ht="30" hidden="false" customHeight="true" outlineLevel="0" collapsed="false">
      <c r="A179" s="298"/>
      <c r="B179" s="310" t="s">
        <v>318</v>
      </c>
      <c r="C179" s="310"/>
      <c r="D179" s="310"/>
      <c r="E179" s="310"/>
      <c r="F179" s="310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  <c r="Q179" s="311"/>
      <c r="R179" s="301"/>
      <c r="S179" s="301"/>
      <c r="T179" s="301"/>
      <c r="U179" s="302"/>
      <c r="V179" s="302"/>
      <c r="W179" s="303"/>
      <c r="X179" s="303"/>
    </row>
    <row r="180" customFormat="false" ht="17.25" hidden="false" customHeight="true" outlineLevel="0" collapsed="false">
      <c r="A180" s="312"/>
      <c r="B180" s="313"/>
      <c r="C180" s="313"/>
      <c r="D180" s="313"/>
      <c r="E180" s="313"/>
      <c r="F180" s="313"/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  <c r="T180" s="313"/>
      <c r="U180" s="313"/>
      <c r="V180" s="313"/>
      <c r="W180" s="313"/>
      <c r="X180" s="314"/>
    </row>
    <row r="181" customFormat="false" ht="17.25" hidden="false" customHeight="true" outlineLevel="0" collapsed="false">
      <c r="A181" s="291" t="s">
        <v>319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313"/>
      <c r="S181" s="313"/>
      <c r="T181" s="313"/>
      <c r="U181" s="313"/>
      <c r="V181" s="313"/>
      <c r="W181" s="313"/>
      <c r="X181" s="294"/>
    </row>
    <row r="182" customFormat="false" ht="30" hidden="false" customHeight="true" outlineLevel="0" collapsed="false">
      <c r="A182" s="298"/>
      <c r="B182" s="315" t="s">
        <v>320</v>
      </c>
      <c r="C182" s="315"/>
      <c r="D182" s="315"/>
      <c r="E182" s="316"/>
      <c r="F182" s="317"/>
      <c r="G182" s="317"/>
      <c r="H182" s="317"/>
      <c r="I182" s="317"/>
      <c r="J182" s="318" t="s">
        <v>49</v>
      </c>
      <c r="K182" s="319" t="s">
        <v>321</v>
      </c>
      <c r="L182" s="319"/>
      <c r="M182" s="319"/>
      <c r="N182" s="320"/>
      <c r="O182" s="320"/>
      <c r="P182" s="320"/>
      <c r="Q182" s="320"/>
      <c r="R182" s="320"/>
      <c r="S182" s="320"/>
      <c r="T182" s="320"/>
      <c r="U182" s="320"/>
      <c r="V182" s="313"/>
      <c r="W182" s="313"/>
      <c r="X182" s="313"/>
    </row>
    <row r="183" customFormat="false" ht="30" hidden="false" customHeight="true" outlineLevel="0" collapsed="false">
      <c r="A183" s="298"/>
      <c r="B183" s="321" t="s">
        <v>244</v>
      </c>
      <c r="C183" s="321"/>
      <c r="D183" s="321"/>
      <c r="E183" s="302"/>
      <c r="F183" s="302"/>
      <c r="G183" s="302"/>
      <c r="H183" s="302"/>
      <c r="I183" s="302"/>
      <c r="J183" s="302"/>
      <c r="K183" s="322" t="s">
        <v>245</v>
      </c>
      <c r="L183" s="322"/>
      <c r="M183" s="322"/>
      <c r="N183" s="323"/>
      <c r="O183" s="323"/>
      <c r="P183" s="323"/>
      <c r="Q183" s="323"/>
      <c r="R183" s="323"/>
      <c r="S183" s="323"/>
      <c r="T183" s="323"/>
      <c r="U183" s="323"/>
      <c r="V183" s="313"/>
      <c r="W183" s="313"/>
      <c r="X183" s="313"/>
    </row>
    <row r="184" customFormat="false" ht="9.75" hidden="false" customHeight="true" outlineLevel="0" collapsed="false">
      <c r="A184" s="225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</row>
    <row r="185" customFormat="false" ht="18.75" hidden="false" customHeight="true" outlineLevel="0" collapsed="false">
      <c r="A185" s="124" t="s">
        <v>82</v>
      </c>
    </row>
    <row r="186" customFormat="false" ht="33.75" hidden="false" customHeight="true" outlineLevel="0" collapsed="false">
      <c r="A186" s="214"/>
      <c r="B186" s="214"/>
      <c r="C186" s="214"/>
      <c r="D186" s="214"/>
      <c r="E186" s="214"/>
      <c r="F186" s="125" t="s">
        <v>322</v>
      </c>
      <c r="G186" s="125"/>
      <c r="H186" s="125"/>
      <c r="I186" s="125"/>
      <c r="J186" s="125"/>
      <c r="K186" s="125"/>
      <c r="L186" s="125"/>
      <c r="M186" s="125"/>
      <c r="N186" s="126" t="s">
        <v>323</v>
      </c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</row>
    <row r="187" customFormat="false" ht="22.5" hidden="false" customHeight="true" outlineLevel="0" collapsed="false">
      <c r="A187" s="127" t="s">
        <v>85</v>
      </c>
      <c r="B187" s="127"/>
      <c r="C187" s="127"/>
      <c r="D187" s="127"/>
      <c r="E187" s="128" t="s">
        <v>2</v>
      </c>
      <c r="F187" s="128"/>
      <c r="G187" s="128"/>
      <c r="H187" s="128"/>
      <c r="I187" s="128"/>
      <c r="J187" s="128"/>
      <c r="K187" s="128"/>
      <c r="L187" s="129" t="s">
        <v>86</v>
      </c>
      <c r="M187" s="129"/>
      <c r="N187" s="129"/>
      <c r="O187" s="129"/>
      <c r="P187" s="129"/>
      <c r="Q187" s="130" t="s">
        <v>87</v>
      </c>
      <c r="R187" s="130"/>
      <c r="S187" s="130"/>
      <c r="T187" s="130"/>
      <c r="U187" s="130"/>
      <c r="V187" s="130"/>
      <c r="W187" s="130"/>
      <c r="X187" s="130"/>
    </row>
    <row r="188" customFormat="false" ht="22.5" hidden="false" customHeight="true" outlineLevel="0" collapsed="false">
      <c r="A188" s="131" t="s">
        <v>88</v>
      </c>
      <c r="B188" s="131"/>
      <c r="C188" s="131"/>
      <c r="D188" s="131"/>
      <c r="E188" s="132" t="s">
        <v>6</v>
      </c>
      <c r="F188" s="132"/>
      <c r="G188" s="132"/>
      <c r="H188" s="132"/>
      <c r="I188" s="132"/>
      <c r="J188" s="132"/>
      <c r="K188" s="132"/>
      <c r="L188" s="132" t="s">
        <v>89</v>
      </c>
      <c r="M188" s="132"/>
      <c r="N188" s="132"/>
      <c r="O188" s="132"/>
      <c r="P188" s="132"/>
      <c r="Q188" s="133" t="s">
        <v>90</v>
      </c>
      <c r="R188" s="133"/>
      <c r="S188" s="133"/>
      <c r="T188" s="134" t="s">
        <v>52</v>
      </c>
      <c r="U188" s="135" t="s">
        <v>91</v>
      </c>
      <c r="V188" s="135"/>
      <c r="W188" s="135"/>
      <c r="X188" s="136" t="s">
        <v>49</v>
      </c>
    </row>
    <row r="189" customFormat="false" ht="16.5" hidden="false" customHeight="true" outlineLevel="0" collapsed="false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8"/>
      <c r="M189" s="138"/>
      <c r="N189" s="138"/>
      <c r="O189" s="138"/>
      <c r="P189" s="138"/>
      <c r="Q189" s="138"/>
      <c r="R189" s="138"/>
      <c r="S189" s="138" t="s">
        <v>249</v>
      </c>
      <c r="T189" s="138"/>
      <c r="U189" s="138"/>
      <c r="V189" s="138"/>
      <c r="W189" s="138"/>
      <c r="X189" s="138"/>
    </row>
    <row r="190" customFormat="false" ht="15" hidden="false" customHeight="true" outlineLevel="0" collapsed="false">
      <c r="A190" s="215" t="s">
        <v>101</v>
      </c>
      <c r="B190" s="216"/>
      <c r="C190" s="216"/>
      <c r="D190" s="216"/>
      <c r="E190" s="217"/>
      <c r="F190" s="218"/>
      <c r="G190" s="137"/>
      <c r="H190" s="137"/>
      <c r="I190" s="137"/>
      <c r="J190" s="137"/>
      <c r="K190" s="137"/>
      <c r="L190" s="137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</row>
    <row r="191" customFormat="false" ht="39.75" hidden="false" customHeight="true" outlineLevel="0" collapsed="false">
      <c r="A191" s="143" t="s">
        <v>102</v>
      </c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4" t="s">
        <v>103</v>
      </c>
      <c r="Q191" s="144"/>
      <c r="R191" s="144"/>
      <c r="S191" s="144"/>
      <c r="T191" s="144" t="s">
        <v>104</v>
      </c>
      <c r="U191" s="144"/>
      <c r="V191" s="144"/>
      <c r="W191" s="144"/>
      <c r="X191" s="144"/>
    </row>
    <row r="192" customFormat="false" ht="78.75" hidden="false" customHeight="true" outlineLevel="0" collapsed="false">
      <c r="A192" s="219" t="s">
        <v>250</v>
      </c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20" t="s">
        <v>110</v>
      </c>
      <c r="Q192" s="220"/>
      <c r="R192" s="220"/>
      <c r="S192" s="220"/>
      <c r="T192" s="147" t="s">
        <v>78</v>
      </c>
      <c r="U192" s="147"/>
      <c r="V192" s="147"/>
      <c r="W192" s="147"/>
      <c r="X192" s="147"/>
    </row>
    <row r="193" customFormat="false" ht="68.25" hidden="false" customHeight="true" outlineLevel="0" collapsed="false">
      <c r="A193" s="219" t="s">
        <v>251</v>
      </c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20" t="s">
        <v>108</v>
      </c>
      <c r="Q193" s="220"/>
      <c r="R193" s="220"/>
      <c r="S193" s="220"/>
      <c r="T193" s="147" t="s">
        <v>78</v>
      </c>
      <c r="U193" s="147"/>
      <c r="V193" s="147"/>
      <c r="W193" s="147"/>
      <c r="X193" s="147"/>
    </row>
    <row r="194" customFormat="false" ht="61.5" hidden="false" customHeight="true" outlineLevel="0" collapsed="false">
      <c r="A194" s="219" t="s">
        <v>252</v>
      </c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20" t="s">
        <v>108</v>
      </c>
      <c r="Q194" s="220"/>
      <c r="R194" s="220"/>
      <c r="S194" s="220"/>
      <c r="T194" s="147" t="s">
        <v>78</v>
      </c>
      <c r="U194" s="147"/>
      <c r="V194" s="147"/>
      <c r="W194" s="147"/>
      <c r="X194" s="147"/>
    </row>
    <row r="195" customFormat="false" ht="21.75" hidden="false" customHeight="true" outlineLevel="0" collapsed="false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48" t="s">
        <v>111</v>
      </c>
      <c r="Q195" s="148"/>
      <c r="R195" s="148"/>
      <c r="S195" s="148"/>
      <c r="T195" s="147" t="s">
        <v>78</v>
      </c>
      <c r="U195" s="147"/>
      <c r="V195" s="147"/>
      <c r="W195" s="147"/>
      <c r="X195" s="147"/>
    </row>
    <row r="196" customFormat="false" ht="18.75" hidden="false" customHeight="true" outlineLevel="0" collapsed="false">
      <c r="A196" s="124" t="s">
        <v>82</v>
      </c>
    </row>
    <row r="197" customFormat="false" ht="33.75" hidden="false" customHeight="true" outlineLevel="0" collapsed="false">
      <c r="A197" s="214"/>
      <c r="B197" s="214"/>
      <c r="C197" s="214"/>
      <c r="D197" s="214"/>
      <c r="E197" s="214"/>
      <c r="F197" s="125" t="s">
        <v>324</v>
      </c>
      <c r="G197" s="125"/>
      <c r="H197" s="125"/>
      <c r="I197" s="125"/>
      <c r="J197" s="125"/>
      <c r="K197" s="125"/>
      <c r="L197" s="125"/>
      <c r="M197" s="125"/>
      <c r="N197" s="126" t="s">
        <v>323</v>
      </c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</row>
    <row r="198" customFormat="false" ht="22.5" hidden="false" customHeight="true" outlineLevel="0" collapsed="false">
      <c r="A198" s="127" t="s">
        <v>85</v>
      </c>
      <c r="B198" s="127"/>
      <c r="C198" s="127"/>
      <c r="D198" s="127"/>
      <c r="E198" s="128" t="s">
        <v>2</v>
      </c>
      <c r="F198" s="128"/>
      <c r="G198" s="128"/>
      <c r="H198" s="128"/>
      <c r="I198" s="128"/>
      <c r="J198" s="128"/>
      <c r="K198" s="128"/>
      <c r="L198" s="129" t="s">
        <v>86</v>
      </c>
      <c r="M198" s="129"/>
      <c r="N198" s="129"/>
      <c r="O198" s="129"/>
      <c r="P198" s="129"/>
      <c r="Q198" s="130" t="s">
        <v>87</v>
      </c>
      <c r="R198" s="130"/>
      <c r="S198" s="130"/>
      <c r="T198" s="130"/>
      <c r="U198" s="130"/>
      <c r="V198" s="130"/>
      <c r="W198" s="130"/>
      <c r="X198" s="130"/>
    </row>
    <row r="199" customFormat="false" ht="22.5" hidden="false" customHeight="true" outlineLevel="0" collapsed="false">
      <c r="A199" s="131" t="s">
        <v>88</v>
      </c>
      <c r="B199" s="131"/>
      <c r="C199" s="131"/>
      <c r="D199" s="131"/>
      <c r="E199" s="132" t="s">
        <v>6</v>
      </c>
      <c r="F199" s="132"/>
      <c r="G199" s="132"/>
      <c r="H199" s="132"/>
      <c r="I199" s="132"/>
      <c r="J199" s="132"/>
      <c r="K199" s="132"/>
      <c r="L199" s="132" t="s">
        <v>89</v>
      </c>
      <c r="M199" s="132"/>
      <c r="N199" s="132"/>
      <c r="O199" s="132"/>
      <c r="P199" s="132"/>
      <c r="Q199" s="133" t="s">
        <v>90</v>
      </c>
      <c r="R199" s="133"/>
      <c r="S199" s="133"/>
      <c r="T199" s="134" t="s">
        <v>52</v>
      </c>
      <c r="U199" s="135" t="s">
        <v>91</v>
      </c>
      <c r="V199" s="135"/>
      <c r="W199" s="135"/>
      <c r="X199" s="136" t="s">
        <v>49</v>
      </c>
    </row>
    <row r="200" customFormat="false" ht="14.25" hidden="false" customHeight="true" outlineLevel="0" collapsed="false">
      <c r="A200" s="221"/>
      <c r="B200" s="221"/>
      <c r="C200" s="221"/>
      <c r="D200" s="221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3"/>
      <c r="R200" s="224"/>
      <c r="S200" s="224"/>
      <c r="T200" s="225"/>
      <c r="U200" s="226"/>
      <c r="V200" s="224"/>
      <c r="W200" s="224"/>
      <c r="X200" s="225"/>
    </row>
    <row r="201" customFormat="false" ht="15" hidden="false" customHeight="true" outlineLevel="0" collapsed="false">
      <c r="A201" s="151" t="s">
        <v>113</v>
      </c>
      <c r="B201" s="152"/>
      <c r="C201" s="152"/>
      <c r="D201" s="152"/>
      <c r="E201" s="153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324"/>
      <c r="R201" s="154"/>
      <c r="S201" s="154"/>
      <c r="T201" s="154"/>
      <c r="U201" s="325" t="s">
        <v>114</v>
      </c>
      <c r="V201" s="325"/>
      <c r="W201" s="325"/>
      <c r="X201" s="325"/>
    </row>
    <row r="202" customFormat="false" ht="15" hidden="false" customHeight="true" outlineLevel="0" collapsed="false">
      <c r="A202" s="227" t="s">
        <v>254</v>
      </c>
      <c r="L202" s="228"/>
      <c r="M202" s="158"/>
      <c r="N202" s="228"/>
      <c r="O202" s="228"/>
      <c r="Q202" s="159"/>
      <c r="R202" s="159" t="s">
        <v>116</v>
      </c>
      <c r="S202" s="159"/>
      <c r="T202" s="158"/>
      <c r="U202" s="229"/>
      <c r="V202" s="229"/>
      <c r="W202" s="229"/>
      <c r="X202" s="229"/>
    </row>
    <row r="203" customFormat="false" ht="15" hidden="false" customHeight="true" outlineLevel="0" collapsed="false">
      <c r="A203" s="227" t="s">
        <v>325</v>
      </c>
      <c r="L203" s="228"/>
      <c r="M203" s="158"/>
      <c r="N203" s="228"/>
      <c r="O203" s="228"/>
      <c r="Q203" s="159"/>
      <c r="R203" s="159" t="s">
        <v>116</v>
      </c>
      <c r="S203" s="159"/>
      <c r="T203" s="158"/>
      <c r="U203" s="229"/>
      <c r="V203" s="229"/>
      <c r="W203" s="229"/>
      <c r="X203" s="229"/>
    </row>
    <row r="204" customFormat="false" ht="15" hidden="false" customHeight="true" outlineLevel="0" collapsed="false">
      <c r="A204" s="227" t="s">
        <v>326</v>
      </c>
      <c r="B204" s="157"/>
      <c r="C204" s="157"/>
      <c r="D204" s="157"/>
      <c r="E204" s="157"/>
      <c r="F204" s="137"/>
      <c r="G204" s="137"/>
      <c r="H204" s="137"/>
      <c r="I204" s="137"/>
      <c r="J204" s="137"/>
      <c r="K204" s="137"/>
      <c r="L204" s="228"/>
      <c r="M204" s="158"/>
      <c r="N204" s="228"/>
      <c r="O204" s="228"/>
      <c r="P204" s="137"/>
      <c r="Q204" s="159"/>
      <c r="R204" s="159" t="s">
        <v>116</v>
      </c>
      <c r="S204" s="159"/>
      <c r="T204" s="158"/>
      <c r="U204" s="229"/>
      <c r="V204" s="229"/>
      <c r="W204" s="229"/>
      <c r="X204" s="229"/>
    </row>
    <row r="205" customFormat="false" ht="15" hidden="false" customHeight="true" outlineLevel="0" collapsed="false">
      <c r="A205" s="227" t="s">
        <v>257</v>
      </c>
      <c r="B205" s="137"/>
      <c r="C205" s="157"/>
      <c r="D205" s="157"/>
      <c r="E205" s="157"/>
      <c r="F205" s="137"/>
      <c r="G205" s="137"/>
      <c r="H205" s="137"/>
      <c r="I205" s="157"/>
      <c r="J205" s="137"/>
      <c r="K205" s="137"/>
      <c r="L205" s="228"/>
      <c r="M205" s="158"/>
      <c r="N205" s="228"/>
      <c r="O205" s="228"/>
      <c r="P205" s="137"/>
      <c r="Q205" s="159"/>
      <c r="R205" s="159" t="s">
        <v>116</v>
      </c>
      <c r="S205" s="159"/>
      <c r="T205" s="158"/>
      <c r="U205" s="229"/>
      <c r="V205" s="229"/>
      <c r="W205" s="229"/>
      <c r="X205" s="229"/>
    </row>
    <row r="206" customFormat="false" ht="15" hidden="false" customHeight="true" outlineLevel="0" collapsed="false">
      <c r="A206" s="326" t="s">
        <v>327</v>
      </c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5"/>
      <c r="M206" s="231"/>
      <c r="N206" s="231"/>
      <c r="O206" s="231"/>
      <c r="P206" s="231"/>
      <c r="Q206" s="166"/>
      <c r="R206" s="166" t="s">
        <v>116</v>
      </c>
      <c r="S206" s="166"/>
      <c r="T206" s="165"/>
      <c r="U206" s="229"/>
      <c r="V206" s="229"/>
      <c r="W206" s="229"/>
      <c r="X206" s="229"/>
    </row>
    <row r="209" customFormat="false" ht="15" hidden="false" customHeight="true" outlineLevel="0" collapsed="false">
      <c r="A209" s="232" t="s">
        <v>328</v>
      </c>
      <c r="B209" s="233"/>
      <c r="C209" s="233"/>
      <c r="D209" s="233"/>
      <c r="E209" s="233"/>
      <c r="F209" s="233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</row>
    <row r="210" customFormat="false" ht="30" hidden="false" customHeight="true" outlineLevel="0" collapsed="false">
      <c r="A210" s="234" t="s">
        <v>329</v>
      </c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</row>
    <row r="211" customFormat="false" ht="9.75" hidden="false" customHeight="true" outlineLevel="0" collapsed="false">
      <c r="A211" s="235"/>
      <c r="B211" s="235"/>
      <c r="C211" s="235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2"/>
    </row>
    <row r="212" customFormat="false" ht="15" hidden="false" customHeight="true" outlineLevel="0" collapsed="false">
      <c r="A212" s="185"/>
      <c r="B212" s="327" t="s">
        <v>280</v>
      </c>
      <c r="C212" s="327"/>
      <c r="D212" s="327"/>
      <c r="E212" s="327" t="s">
        <v>282</v>
      </c>
      <c r="F212" s="327"/>
      <c r="G212" s="327"/>
      <c r="H212" s="327"/>
      <c r="I212" s="327"/>
      <c r="J212" s="240" t="s">
        <v>330</v>
      </c>
      <c r="K212" s="240"/>
      <c r="L212" s="240"/>
      <c r="M212" s="240"/>
      <c r="N212" s="240"/>
      <c r="O212" s="240"/>
      <c r="P212" s="240"/>
      <c r="Q212" s="275" t="s">
        <v>21</v>
      </c>
      <c r="R212" s="240" t="s">
        <v>263</v>
      </c>
      <c r="S212" s="240"/>
      <c r="T212" s="240"/>
      <c r="U212" s="240" t="s">
        <v>22</v>
      </c>
      <c r="V212" s="240"/>
      <c r="W212" s="241" t="s">
        <v>23</v>
      </c>
      <c r="X212" s="241"/>
    </row>
    <row r="213" customFormat="false" ht="18" hidden="false" customHeight="true" outlineLevel="0" collapsed="false">
      <c r="A213" s="185"/>
      <c r="B213" s="328" t="s">
        <v>331</v>
      </c>
      <c r="C213" s="328"/>
      <c r="D213" s="328"/>
      <c r="E213" s="329" t="s">
        <v>332</v>
      </c>
      <c r="F213" s="329"/>
      <c r="G213" s="329"/>
      <c r="H213" s="329"/>
      <c r="I213" s="329"/>
      <c r="J213" s="330"/>
      <c r="K213" s="330"/>
      <c r="L213" s="330"/>
      <c r="M213" s="330"/>
      <c r="N213" s="330"/>
      <c r="O213" s="330"/>
      <c r="P213" s="330"/>
      <c r="Q213" s="244" t="s">
        <v>26</v>
      </c>
      <c r="R213" s="331"/>
      <c r="S213" s="331"/>
      <c r="T213" s="331"/>
      <c r="U213" s="331"/>
      <c r="V213" s="331"/>
      <c r="W213" s="332"/>
      <c r="X213" s="332"/>
    </row>
    <row r="214" customFormat="false" ht="18" hidden="false" customHeight="true" outlineLevel="0" collapsed="false">
      <c r="A214" s="185"/>
      <c r="B214" s="328" t="s">
        <v>333</v>
      </c>
      <c r="C214" s="328"/>
      <c r="D214" s="328"/>
      <c r="E214" s="329" t="s">
        <v>334</v>
      </c>
      <c r="F214" s="329"/>
      <c r="G214" s="329"/>
      <c r="H214" s="329"/>
      <c r="I214" s="329"/>
      <c r="J214" s="330"/>
      <c r="K214" s="330"/>
      <c r="L214" s="330"/>
      <c r="M214" s="330"/>
      <c r="N214" s="330"/>
      <c r="O214" s="330"/>
      <c r="P214" s="330"/>
      <c r="Q214" s="244" t="s">
        <v>26</v>
      </c>
      <c r="R214" s="331"/>
      <c r="S214" s="331"/>
      <c r="T214" s="331"/>
      <c r="U214" s="331"/>
      <c r="V214" s="331"/>
      <c r="W214" s="332"/>
      <c r="X214" s="332"/>
    </row>
    <row r="215" customFormat="false" ht="18" hidden="false" customHeight="true" outlineLevel="0" collapsed="false">
      <c r="A215" s="185"/>
      <c r="B215" s="328" t="s">
        <v>335</v>
      </c>
      <c r="C215" s="328"/>
      <c r="D215" s="328"/>
      <c r="E215" s="329" t="s">
        <v>336</v>
      </c>
      <c r="F215" s="329"/>
      <c r="G215" s="329"/>
      <c r="H215" s="329"/>
      <c r="I215" s="329"/>
      <c r="J215" s="330"/>
      <c r="K215" s="330"/>
      <c r="L215" s="330"/>
      <c r="M215" s="330"/>
      <c r="N215" s="330"/>
      <c r="O215" s="330"/>
      <c r="P215" s="330"/>
      <c r="Q215" s="244" t="s">
        <v>26</v>
      </c>
      <c r="R215" s="331"/>
      <c r="S215" s="331"/>
      <c r="T215" s="331"/>
      <c r="U215" s="331"/>
      <c r="V215" s="331"/>
      <c r="W215" s="332"/>
      <c r="X215" s="332"/>
    </row>
    <row r="216" customFormat="false" ht="18" hidden="false" customHeight="true" outlineLevel="0" collapsed="false">
      <c r="A216" s="185"/>
      <c r="B216" s="328" t="s">
        <v>337</v>
      </c>
      <c r="C216" s="328"/>
      <c r="D216" s="328"/>
      <c r="E216" s="329" t="s">
        <v>338</v>
      </c>
      <c r="F216" s="329"/>
      <c r="G216" s="329"/>
      <c r="H216" s="329"/>
      <c r="I216" s="329"/>
      <c r="J216" s="330"/>
      <c r="K216" s="330"/>
      <c r="L216" s="330"/>
      <c r="M216" s="330"/>
      <c r="N216" s="330"/>
      <c r="O216" s="330"/>
      <c r="P216" s="330"/>
      <c r="Q216" s="244" t="s">
        <v>26</v>
      </c>
      <c r="R216" s="331"/>
      <c r="S216" s="331"/>
      <c r="T216" s="331"/>
      <c r="U216" s="331"/>
      <c r="V216" s="331"/>
      <c r="W216" s="332"/>
      <c r="X216" s="332"/>
    </row>
    <row r="217" customFormat="false" ht="19.5" hidden="false" customHeight="true" outlineLevel="0" collapsed="false">
      <c r="A217" s="185"/>
      <c r="B217" s="283"/>
      <c r="C217" s="283"/>
      <c r="D217" s="283"/>
      <c r="E217" s="283"/>
      <c r="F217" s="283"/>
      <c r="G217" s="283"/>
      <c r="H217" s="283"/>
      <c r="I217" s="283"/>
      <c r="J217" s="333"/>
      <c r="K217" s="333"/>
      <c r="L217" s="333"/>
      <c r="M217" s="333"/>
      <c r="N217" s="333"/>
      <c r="O217" s="333"/>
      <c r="P217" s="333"/>
      <c r="Q217" s="283"/>
      <c r="R217" s="334"/>
      <c r="S217" s="334"/>
      <c r="T217" s="334"/>
      <c r="U217" s="334"/>
      <c r="V217" s="334"/>
      <c r="W217" s="334"/>
      <c r="X217" s="334"/>
    </row>
    <row r="218" customFormat="false" ht="15" hidden="false" customHeight="true" outlineLevel="0" collapsed="false">
      <c r="A218" s="215" t="s">
        <v>266</v>
      </c>
      <c r="B218" s="216"/>
      <c r="C218" s="216"/>
      <c r="D218" s="217"/>
      <c r="E218" s="217"/>
      <c r="F218" s="218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</row>
    <row r="219" customFormat="false" ht="16.5" hidden="false" customHeight="true" outlineLevel="0" collapsed="false">
      <c r="A219" s="259" t="s">
        <v>267</v>
      </c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</row>
    <row r="220" customFormat="false" ht="16.5" hidden="false" customHeight="true" outlineLevel="0" collapsed="false">
      <c r="A220" s="259" t="s">
        <v>268</v>
      </c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1" t="s">
        <v>269</v>
      </c>
      <c r="M220" s="262"/>
      <c r="N220" s="262"/>
      <c r="O220" s="262"/>
      <c r="P220" s="263" t="s">
        <v>270</v>
      </c>
      <c r="Q220" s="260"/>
      <c r="R220" s="260"/>
      <c r="S220" s="260"/>
      <c r="T220" s="260"/>
      <c r="U220" s="260"/>
      <c r="V220" s="260"/>
      <c r="W220" s="260"/>
      <c r="X220" s="260"/>
    </row>
    <row r="221" customFormat="false" ht="16.5" hidden="false" customHeight="true" outlineLevel="0" collapsed="false">
      <c r="A221" s="259" t="s">
        <v>271</v>
      </c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5" t="s">
        <v>23</v>
      </c>
      <c r="M221" s="265"/>
      <c r="N221" s="266"/>
      <c r="O221" s="266"/>
      <c r="P221" s="266"/>
      <c r="Q221" s="267" t="s">
        <v>272</v>
      </c>
      <c r="R221" s="267"/>
      <c r="S221" s="268"/>
      <c r="T221" s="268"/>
      <c r="U221" s="268"/>
      <c r="V221" s="268"/>
      <c r="W221" s="264"/>
      <c r="X221" s="264"/>
    </row>
    <row r="222" customFormat="false" ht="9.75" hidden="false" customHeight="true" outlineLevel="0" collapsed="false">
      <c r="A222" s="225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</row>
    <row r="223" customFormat="false" ht="18.75" hidden="false" customHeight="true" outlineLevel="0" collapsed="false">
      <c r="A223" s="124" t="s">
        <v>82</v>
      </c>
    </row>
    <row r="224" customFormat="false" ht="33.75" hidden="false" customHeight="true" outlineLevel="0" collapsed="false">
      <c r="A224" s="214"/>
      <c r="B224" s="214"/>
      <c r="C224" s="214"/>
      <c r="D224" s="214"/>
      <c r="E224" s="214"/>
      <c r="F224" s="125" t="s">
        <v>339</v>
      </c>
      <c r="G224" s="125"/>
      <c r="H224" s="125"/>
      <c r="I224" s="125"/>
      <c r="J224" s="125"/>
      <c r="K224" s="125"/>
      <c r="L224" s="125"/>
      <c r="M224" s="125"/>
      <c r="N224" s="126" t="s">
        <v>323</v>
      </c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</row>
    <row r="225" customFormat="false" ht="22.5" hidden="false" customHeight="true" outlineLevel="0" collapsed="false">
      <c r="A225" s="127" t="s">
        <v>85</v>
      </c>
      <c r="B225" s="127"/>
      <c r="C225" s="127"/>
      <c r="D225" s="127"/>
      <c r="E225" s="128" t="s">
        <v>2</v>
      </c>
      <c r="F225" s="128"/>
      <c r="G225" s="128"/>
      <c r="H225" s="128"/>
      <c r="I225" s="128"/>
      <c r="J225" s="128"/>
      <c r="K225" s="128"/>
      <c r="L225" s="129" t="s">
        <v>86</v>
      </c>
      <c r="M225" s="129"/>
      <c r="N225" s="129"/>
      <c r="O225" s="129"/>
      <c r="P225" s="129"/>
      <c r="Q225" s="130" t="s">
        <v>87</v>
      </c>
      <c r="R225" s="130"/>
      <c r="S225" s="130"/>
      <c r="T225" s="130"/>
      <c r="U225" s="130"/>
      <c r="V225" s="130"/>
      <c r="W225" s="130"/>
      <c r="X225" s="130"/>
    </row>
    <row r="226" customFormat="false" ht="22.5" hidden="false" customHeight="true" outlineLevel="0" collapsed="false">
      <c r="A226" s="131" t="s">
        <v>88</v>
      </c>
      <c r="B226" s="131"/>
      <c r="C226" s="131"/>
      <c r="D226" s="131"/>
      <c r="E226" s="132" t="s">
        <v>6</v>
      </c>
      <c r="F226" s="132"/>
      <c r="G226" s="132"/>
      <c r="H226" s="132"/>
      <c r="I226" s="132"/>
      <c r="J226" s="132"/>
      <c r="K226" s="132"/>
      <c r="L226" s="132" t="s">
        <v>89</v>
      </c>
      <c r="M226" s="132"/>
      <c r="N226" s="132"/>
      <c r="O226" s="132"/>
      <c r="P226" s="132"/>
      <c r="Q226" s="133" t="s">
        <v>90</v>
      </c>
      <c r="R226" s="133"/>
      <c r="S226" s="133"/>
      <c r="T226" s="134" t="s">
        <v>52</v>
      </c>
      <c r="U226" s="135" t="s">
        <v>91</v>
      </c>
      <c r="V226" s="135"/>
      <c r="W226" s="135"/>
      <c r="X226" s="136" t="s">
        <v>49</v>
      </c>
    </row>
    <row r="227" customFormat="false" ht="14.25" hidden="false" customHeight="true" outlineLevel="0" collapsed="false">
      <c r="A227" s="221"/>
      <c r="B227" s="221"/>
      <c r="C227" s="221"/>
      <c r="D227" s="221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3"/>
      <c r="R227" s="224"/>
      <c r="S227" s="224"/>
      <c r="T227" s="225"/>
      <c r="U227" s="226"/>
      <c r="V227" s="224"/>
      <c r="W227" s="224"/>
      <c r="X227" s="225"/>
    </row>
    <row r="228" customFormat="false" ht="15" hidden="false" customHeight="true" outlineLevel="0" collapsed="false">
      <c r="A228" s="215" t="s">
        <v>274</v>
      </c>
      <c r="B228" s="269"/>
      <c r="C228" s="269"/>
      <c r="D228" s="269"/>
      <c r="E228" s="269"/>
      <c r="F228" s="269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</row>
    <row r="229" customFormat="false" ht="15" hidden="false" customHeight="true" outlineLevel="0" collapsed="false">
      <c r="A229" s="259" t="s">
        <v>275</v>
      </c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</row>
    <row r="230" customFormat="false" ht="15" hidden="false" customHeight="true" outlineLevel="0" collapsed="false">
      <c r="A230" s="259" t="s">
        <v>276</v>
      </c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</row>
    <row r="231" customFormat="false" ht="15" hidden="false" customHeight="true" outlineLevel="0" collapsed="false">
      <c r="A231" s="259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</row>
    <row r="232" customFormat="false" ht="28.5" hidden="false" customHeight="true" outlineLevel="0" collapsed="false">
      <c r="A232" s="259"/>
      <c r="B232" s="270" t="s">
        <v>277</v>
      </c>
      <c r="C232" s="270"/>
      <c r="D232" s="270"/>
      <c r="E232" s="271"/>
      <c r="F232" s="271"/>
      <c r="G232" s="271"/>
      <c r="H232" s="272" t="s">
        <v>278</v>
      </c>
      <c r="I232" s="272"/>
      <c r="J232" s="272"/>
      <c r="K232" s="271"/>
      <c r="L232" s="271"/>
      <c r="M232" s="271"/>
      <c r="N232" s="271"/>
      <c r="O232" s="272" t="s">
        <v>279</v>
      </c>
      <c r="P232" s="272"/>
      <c r="Q232" s="272"/>
      <c r="R232" s="273"/>
      <c r="S232" s="273"/>
      <c r="T232" s="273"/>
      <c r="U232" s="273"/>
      <c r="V232" s="264"/>
      <c r="W232" s="264"/>
      <c r="X232" s="264"/>
    </row>
    <row r="233" customFormat="false" ht="15" hidden="false" customHeight="true" outlineLevel="0" collapsed="false">
      <c r="A233" s="259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</row>
    <row r="234" customFormat="false" ht="15" hidden="false" customHeight="true" outlineLevel="0" collapsed="false">
      <c r="A234" s="274" t="s">
        <v>280</v>
      </c>
      <c r="B234" s="274"/>
      <c r="C234" s="274"/>
      <c r="D234" s="274"/>
      <c r="E234" s="239" t="s">
        <v>281</v>
      </c>
      <c r="F234" s="239"/>
      <c r="G234" s="239"/>
      <c r="H234" s="275" t="s">
        <v>282</v>
      </c>
      <c r="I234" s="275"/>
      <c r="J234" s="275"/>
      <c r="K234" s="275"/>
      <c r="L234" s="275"/>
      <c r="M234" s="275" t="s">
        <v>283</v>
      </c>
      <c r="N234" s="275"/>
      <c r="O234" s="275"/>
      <c r="P234" s="275" t="s">
        <v>284</v>
      </c>
      <c r="Q234" s="275"/>
      <c r="R234" s="275"/>
      <c r="S234" s="276" t="s">
        <v>22</v>
      </c>
      <c r="T234" s="276"/>
      <c r="U234" s="276" t="s">
        <v>23</v>
      </c>
      <c r="V234" s="276"/>
      <c r="W234" s="277" t="s">
        <v>285</v>
      </c>
      <c r="X234" s="277"/>
    </row>
    <row r="235" customFormat="false" ht="18" hidden="false" customHeight="true" outlineLevel="0" collapsed="false">
      <c r="A235" s="278"/>
      <c r="B235" s="278"/>
      <c r="C235" s="278"/>
      <c r="D235" s="278"/>
      <c r="E235" s="279"/>
      <c r="F235" s="279"/>
      <c r="G235" s="279"/>
      <c r="H235" s="280"/>
      <c r="I235" s="280"/>
      <c r="J235" s="280"/>
      <c r="K235" s="280"/>
      <c r="L235" s="280"/>
      <c r="M235" s="244"/>
      <c r="N235" s="244"/>
      <c r="O235" s="244"/>
      <c r="P235" s="244" t="s">
        <v>288</v>
      </c>
      <c r="Q235" s="244"/>
      <c r="R235" s="244"/>
      <c r="S235" s="244"/>
      <c r="T235" s="244"/>
      <c r="U235" s="281"/>
      <c r="V235" s="281"/>
      <c r="W235" s="282"/>
      <c r="X235" s="282"/>
    </row>
    <row r="236" customFormat="false" ht="15" hidden="false" customHeight="true" outlineLevel="0" collapsed="false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4"/>
      <c r="V236" s="284"/>
      <c r="W236" s="284"/>
      <c r="X236" s="284"/>
    </row>
    <row r="237" customFormat="false" ht="17.25" hidden="false" customHeight="true" outlineLevel="0" collapsed="false">
      <c r="A237" s="285" t="s">
        <v>306</v>
      </c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</row>
    <row r="238" customFormat="false" ht="28.5" hidden="false" customHeight="true" outlineLevel="0" collapsed="false">
      <c r="A238" s="286"/>
      <c r="B238" s="287" t="s">
        <v>307</v>
      </c>
      <c r="C238" s="287"/>
      <c r="D238" s="287"/>
      <c r="E238" s="288"/>
      <c r="F238" s="288"/>
      <c r="G238" s="288"/>
      <c r="H238" s="288"/>
      <c r="I238" s="265" t="s">
        <v>308</v>
      </c>
      <c r="J238" s="265"/>
      <c r="K238" s="265"/>
      <c r="L238" s="288"/>
      <c r="M238" s="288"/>
      <c r="N238" s="288"/>
      <c r="O238" s="288"/>
      <c r="P238" s="288"/>
      <c r="Q238" s="288"/>
      <c r="R238" s="289" t="s">
        <v>309</v>
      </c>
      <c r="S238" s="289"/>
      <c r="T238" s="289"/>
      <c r="U238" s="290"/>
      <c r="V238" s="290"/>
      <c r="W238" s="290"/>
      <c r="X238" s="137"/>
    </row>
    <row r="239" customFormat="false" ht="9.75" hidden="false" customHeight="true" outlineLevel="0" collapsed="false">
      <c r="A239" s="286"/>
      <c r="B239" s="138"/>
      <c r="C239" s="138"/>
      <c r="D239" s="138"/>
      <c r="E239" s="222"/>
      <c r="F239" s="222"/>
      <c r="G239" s="222"/>
      <c r="H239" s="222"/>
      <c r="I239" s="138"/>
      <c r="J239" s="138"/>
      <c r="K239" s="138"/>
      <c r="L239" s="222"/>
      <c r="M239" s="222"/>
      <c r="N239" s="222"/>
      <c r="O239" s="222"/>
      <c r="P239" s="222"/>
      <c r="Q239" s="222"/>
      <c r="R239" s="138"/>
      <c r="S239" s="138"/>
      <c r="T239" s="138"/>
      <c r="U239" s="185"/>
      <c r="V239" s="185"/>
      <c r="W239" s="185"/>
      <c r="X239" s="137"/>
    </row>
    <row r="240" customFormat="false" ht="17.25" hidden="false" customHeight="true" outlineLevel="0" collapsed="false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</row>
    <row r="241" customFormat="false" ht="15" hidden="false" customHeight="true" outlineLevel="0" collapsed="false">
      <c r="A241" s="215" t="s">
        <v>310</v>
      </c>
      <c r="B241" s="269"/>
      <c r="C241" s="269"/>
      <c r="D241" s="269"/>
      <c r="E241" s="269"/>
      <c r="F241" s="269"/>
      <c r="G241" s="269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</row>
    <row r="242" customFormat="false" ht="17.25" hidden="false" customHeight="true" outlineLevel="0" collapsed="false">
      <c r="A242" s="291" t="s">
        <v>311</v>
      </c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3"/>
      <c r="P242" s="293"/>
      <c r="Q242" s="294"/>
      <c r="R242" s="295" t="s">
        <v>312</v>
      </c>
      <c r="S242" s="295"/>
      <c r="T242" s="295"/>
      <c r="U242" s="296" t="s">
        <v>22</v>
      </c>
      <c r="V242" s="296"/>
      <c r="W242" s="297" t="s">
        <v>23</v>
      </c>
      <c r="X242" s="297"/>
    </row>
    <row r="243" customFormat="false" ht="30" hidden="false" customHeight="true" outlineLevel="0" collapsed="false">
      <c r="A243" s="298"/>
      <c r="B243" s="299" t="s">
        <v>313</v>
      </c>
      <c r="C243" s="299"/>
      <c r="D243" s="299"/>
      <c r="E243" s="299"/>
      <c r="F243" s="299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1"/>
      <c r="S243" s="301"/>
      <c r="T243" s="301"/>
      <c r="U243" s="302"/>
      <c r="V243" s="302"/>
      <c r="W243" s="303"/>
      <c r="X243" s="303"/>
    </row>
    <row r="244" customFormat="false" ht="30" hidden="false" customHeight="true" outlineLevel="0" collapsed="false">
      <c r="A244" s="298"/>
      <c r="B244" s="304" t="s">
        <v>314</v>
      </c>
      <c r="C244" s="304"/>
      <c r="D244" s="304"/>
      <c r="E244" s="304"/>
      <c r="F244" s="304"/>
      <c r="G244" s="305"/>
      <c r="H244" s="305"/>
      <c r="I244" s="305"/>
      <c r="J244" s="305"/>
      <c r="K244" s="305"/>
      <c r="L244" s="305"/>
      <c r="M244" s="305"/>
      <c r="N244" s="305"/>
      <c r="O244" s="305"/>
      <c r="P244" s="305"/>
      <c r="Q244" s="305"/>
      <c r="R244" s="301"/>
      <c r="S244" s="301"/>
      <c r="T244" s="301"/>
      <c r="U244" s="302"/>
      <c r="V244" s="302"/>
      <c r="W244" s="303"/>
      <c r="X244" s="303"/>
    </row>
    <row r="245" customFormat="false" ht="30" hidden="false" customHeight="true" outlineLevel="0" collapsed="false">
      <c r="A245" s="298"/>
      <c r="B245" s="306" t="s">
        <v>315</v>
      </c>
      <c r="C245" s="306"/>
      <c r="D245" s="307" t="s">
        <v>340</v>
      </c>
      <c r="E245" s="307"/>
      <c r="F245" s="307"/>
      <c r="G245" s="308"/>
      <c r="H245" s="308"/>
      <c r="I245" s="308"/>
      <c r="J245" s="308"/>
      <c r="K245" s="308"/>
      <c r="L245" s="308"/>
      <c r="M245" s="309" t="s">
        <v>317</v>
      </c>
      <c r="N245" s="309"/>
      <c r="O245" s="309"/>
      <c r="P245" s="309"/>
      <c r="Q245" s="309"/>
      <c r="R245" s="301"/>
      <c r="S245" s="301"/>
      <c r="T245" s="301"/>
      <c r="U245" s="302"/>
      <c r="V245" s="302"/>
      <c r="W245" s="303"/>
      <c r="X245" s="303"/>
    </row>
    <row r="246" customFormat="false" ht="30" hidden="false" customHeight="true" outlineLevel="0" collapsed="false">
      <c r="A246" s="298"/>
      <c r="B246" s="310" t="s">
        <v>318</v>
      </c>
      <c r="C246" s="310"/>
      <c r="D246" s="310"/>
      <c r="E246" s="310"/>
      <c r="F246" s="310"/>
      <c r="G246" s="311"/>
      <c r="H246" s="311"/>
      <c r="I246" s="311"/>
      <c r="J246" s="311"/>
      <c r="K246" s="311"/>
      <c r="L246" s="311"/>
      <c r="M246" s="311"/>
      <c r="N246" s="311"/>
      <c r="O246" s="311"/>
      <c r="P246" s="311"/>
      <c r="Q246" s="311"/>
      <c r="R246" s="301"/>
      <c r="S246" s="301"/>
      <c r="T246" s="301"/>
      <c r="U246" s="302"/>
      <c r="V246" s="302"/>
      <c r="W246" s="303"/>
      <c r="X246" s="303"/>
    </row>
    <row r="247" customFormat="false" ht="17.25" hidden="false" customHeight="true" outlineLevel="0" collapsed="false">
      <c r="A247" s="312"/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4"/>
    </row>
    <row r="248" customFormat="false" ht="17.25" hidden="false" customHeight="true" outlineLevel="0" collapsed="false">
      <c r="A248" s="291" t="s">
        <v>319</v>
      </c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313"/>
      <c r="S248" s="313"/>
      <c r="T248" s="313"/>
      <c r="U248" s="313"/>
      <c r="V248" s="313"/>
      <c r="W248" s="313"/>
      <c r="X248" s="294"/>
    </row>
    <row r="249" customFormat="false" ht="30" hidden="false" customHeight="true" outlineLevel="0" collapsed="false">
      <c r="A249" s="298"/>
      <c r="B249" s="315" t="s">
        <v>320</v>
      </c>
      <c r="C249" s="315"/>
      <c r="D249" s="315"/>
      <c r="E249" s="316"/>
      <c r="F249" s="317"/>
      <c r="G249" s="317"/>
      <c r="H249" s="317"/>
      <c r="I249" s="317"/>
      <c r="J249" s="318" t="s">
        <v>49</v>
      </c>
      <c r="K249" s="319" t="s">
        <v>321</v>
      </c>
      <c r="L249" s="319"/>
      <c r="M249" s="319"/>
      <c r="N249" s="320"/>
      <c r="O249" s="320"/>
      <c r="P249" s="320"/>
      <c r="Q249" s="320"/>
      <c r="R249" s="320"/>
      <c r="S249" s="320"/>
      <c r="T249" s="320"/>
      <c r="U249" s="320"/>
      <c r="V249" s="313"/>
      <c r="W249" s="313"/>
      <c r="X249" s="313"/>
    </row>
    <row r="250" customFormat="false" ht="30" hidden="false" customHeight="true" outlineLevel="0" collapsed="false">
      <c r="A250" s="298"/>
      <c r="B250" s="321" t="s">
        <v>244</v>
      </c>
      <c r="C250" s="321"/>
      <c r="D250" s="321"/>
      <c r="E250" s="302"/>
      <c r="F250" s="302"/>
      <c r="G250" s="302"/>
      <c r="H250" s="302"/>
      <c r="I250" s="302"/>
      <c r="J250" s="302"/>
      <c r="K250" s="322" t="s">
        <v>245</v>
      </c>
      <c r="L250" s="322"/>
      <c r="M250" s="322"/>
      <c r="N250" s="323"/>
      <c r="O250" s="323"/>
      <c r="P250" s="323"/>
      <c r="Q250" s="323"/>
      <c r="R250" s="323"/>
      <c r="S250" s="323"/>
      <c r="T250" s="323"/>
      <c r="U250" s="323"/>
      <c r="V250" s="313"/>
      <c r="W250" s="313"/>
      <c r="X250" s="313"/>
    </row>
    <row r="251" customFormat="false" ht="9.75" hidden="false" customHeight="true" outlineLevel="0" collapsed="false">
      <c r="A251" s="225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</row>
    <row r="252" customFormat="false" ht="18.75" hidden="false" customHeight="true" outlineLevel="0" collapsed="false">
      <c r="A252" s="124" t="s">
        <v>82</v>
      </c>
    </row>
    <row r="253" customFormat="false" ht="33.75" hidden="false" customHeight="true" outlineLevel="0" collapsed="false">
      <c r="A253" s="214"/>
      <c r="B253" s="214"/>
      <c r="C253" s="214"/>
      <c r="D253" s="214"/>
      <c r="E253" s="214"/>
      <c r="F253" s="125" t="s">
        <v>341</v>
      </c>
      <c r="G253" s="125"/>
      <c r="H253" s="125"/>
      <c r="I253" s="125"/>
      <c r="J253" s="125"/>
      <c r="K253" s="125"/>
      <c r="L253" s="125"/>
      <c r="M253" s="125"/>
      <c r="N253" s="126" t="s">
        <v>342</v>
      </c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</row>
    <row r="254" customFormat="false" ht="22.5" hidden="false" customHeight="true" outlineLevel="0" collapsed="false">
      <c r="A254" s="127" t="s">
        <v>85</v>
      </c>
      <c r="B254" s="127"/>
      <c r="C254" s="127"/>
      <c r="D254" s="127"/>
      <c r="E254" s="128" t="s">
        <v>2</v>
      </c>
      <c r="F254" s="128"/>
      <c r="G254" s="128"/>
      <c r="H254" s="128"/>
      <c r="I254" s="128"/>
      <c r="J254" s="128"/>
      <c r="K254" s="128"/>
      <c r="L254" s="129" t="s">
        <v>86</v>
      </c>
      <c r="M254" s="129"/>
      <c r="N254" s="129"/>
      <c r="O254" s="129"/>
      <c r="P254" s="129"/>
      <c r="Q254" s="130" t="s">
        <v>87</v>
      </c>
      <c r="R254" s="130"/>
      <c r="S254" s="130"/>
      <c r="T254" s="130"/>
      <c r="U254" s="130"/>
      <c r="V254" s="130"/>
      <c r="W254" s="130"/>
      <c r="X254" s="130"/>
    </row>
    <row r="255" customFormat="false" ht="22.5" hidden="false" customHeight="true" outlineLevel="0" collapsed="false">
      <c r="A255" s="131" t="s">
        <v>88</v>
      </c>
      <c r="B255" s="131"/>
      <c r="C255" s="131"/>
      <c r="D255" s="131"/>
      <c r="E255" s="132" t="s">
        <v>6</v>
      </c>
      <c r="F255" s="132"/>
      <c r="G255" s="132"/>
      <c r="H255" s="132"/>
      <c r="I255" s="132"/>
      <c r="J255" s="132"/>
      <c r="K255" s="132"/>
      <c r="L255" s="132" t="s">
        <v>89</v>
      </c>
      <c r="M255" s="132"/>
      <c r="N255" s="132"/>
      <c r="O255" s="132"/>
      <c r="P255" s="132"/>
      <c r="Q255" s="133" t="s">
        <v>90</v>
      </c>
      <c r="R255" s="133"/>
      <c r="S255" s="133"/>
      <c r="T255" s="134" t="s">
        <v>52</v>
      </c>
      <c r="U255" s="135" t="s">
        <v>91</v>
      </c>
      <c r="V255" s="135"/>
      <c r="W255" s="135"/>
      <c r="X255" s="136" t="s">
        <v>49</v>
      </c>
    </row>
    <row r="256" customFormat="false" ht="16.5" hidden="false" customHeight="true" outlineLevel="0" collapsed="false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8"/>
      <c r="M256" s="138"/>
      <c r="N256" s="138"/>
      <c r="O256" s="138"/>
      <c r="P256" s="138"/>
      <c r="Q256" s="138"/>
      <c r="R256" s="138"/>
      <c r="S256" s="138" t="s">
        <v>249</v>
      </c>
      <c r="T256" s="138"/>
      <c r="U256" s="138"/>
      <c r="V256" s="138"/>
      <c r="W256" s="138"/>
      <c r="X256" s="138"/>
    </row>
    <row r="257" customFormat="false" ht="15" hidden="false" customHeight="true" outlineLevel="0" collapsed="false">
      <c r="A257" s="215" t="s">
        <v>101</v>
      </c>
      <c r="B257" s="216"/>
      <c r="C257" s="216"/>
      <c r="D257" s="216"/>
      <c r="E257" s="217"/>
      <c r="F257" s="218"/>
      <c r="G257" s="137"/>
      <c r="H257" s="137"/>
      <c r="I257" s="137"/>
      <c r="J257" s="137"/>
      <c r="K257" s="137"/>
      <c r="L257" s="137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</row>
    <row r="258" customFormat="false" ht="39.75" hidden="false" customHeight="true" outlineLevel="0" collapsed="false">
      <c r="A258" s="143" t="s">
        <v>102</v>
      </c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4" t="s">
        <v>103</v>
      </c>
      <c r="Q258" s="144"/>
      <c r="R258" s="144"/>
      <c r="S258" s="144"/>
      <c r="T258" s="144" t="s">
        <v>104</v>
      </c>
      <c r="U258" s="144"/>
      <c r="V258" s="144"/>
      <c r="W258" s="144"/>
      <c r="X258" s="144"/>
    </row>
    <row r="259" customFormat="false" ht="78.75" hidden="false" customHeight="true" outlineLevel="0" collapsed="false">
      <c r="A259" s="219" t="s">
        <v>250</v>
      </c>
      <c r="B259" s="219"/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20" t="s">
        <v>110</v>
      </c>
      <c r="Q259" s="220"/>
      <c r="R259" s="220"/>
      <c r="S259" s="220"/>
      <c r="T259" s="147" t="s">
        <v>78</v>
      </c>
      <c r="U259" s="147"/>
      <c r="V259" s="147"/>
      <c r="W259" s="147"/>
      <c r="X259" s="147"/>
    </row>
    <row r="260" customFormat="false" ht="82.5" hidden="false" customHeight="true" outlineLevel="0" collapsed="false">
      <c r="A260" s="219" t="s">
        <v>343</v>
      </c>
      <c r="B260" s="219"/>
      <c r="C260" s="219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20" t="s">
        <v>106</v>
      </c>
      <c r="Q260" s="220"/>
      <c r="R260" s="220"/>
      <c r="S260" s="220"/>
      <c r="T260" s="147" t="s">
        <v>78</v>
      </c>
      <c r="U260" s="147"/>
      <c r="V260" s="147"/>
      <c r="W260" s="147"/>
      <c r="X260" s="147"/>
    </row>
    <row r="261" customFormat="false" ht="70.5" hidden="false" customHeight="true" outlineLevel="0" collapsed="false">
      <c r="A261" s="219" t="s">
        <v>252</v>
      </c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20" t="s">
        <v>108</v>
      </c>
      <c r="Q261" s="220"/>
      <c r="R261" s="220"/>
      <c r="S261" s="220"/>
      <c r="T261" s="147" t="s">
        <v>78</v>
      </c>
      <c r="U261" s="147"/>
      <c r="V261" s="147"/>
      <c r="W261" s="147"/>
      <c r="X261" s="147"/>
    </row>
    <row r="262" customFormat="false" ht="21.75" hidden="false" customHeight="true" outlineLevel="0" collapsed="false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48" t="s">
        <v>111</v>
      </c>
      <c r="Q262" s="148"/>
      <c r="R262" s="148"/>
      <c r="S262" s="148"/>
      <c r="T262" s="147" t="s">
        <v>78</v>
      </c>
      <c r="U262" s="147"/>
      <c r="V262" s="147"/>
      <c r="W262" s="147"/>
      <c r="X262" s="147"/>
    </row>
    <row r="263" customFormat="false" ht="18.75" hidden="false" customHeight="true" outlineLevel="0" collapsed="false">
      <c r="A263" s="124" t="s">
        <v>82</v>
      </c>
    </row>
    <row r="264" customFormat="false" ht="33.75" hidden="false" customHeight="true" outlineLevel="0" collapsed="false">
      <c r="A264" s="214"/>
      <c r="B264" s="214"/>
      <c r="C264" s="214"/>
      <c r="D264" s="214"/>
      <c r="E264" s="214"/>
      <c r="F264" s="125" t="s">
        <v>344</v>
      </c>
      <c r="G264" s="125"/>
      <c r="H264" s="125"/>
      <c r="I264" s="125"/>
      <c r="J264" s="125"/>
      <c r="K264" s="125"/>
      <c r="L264" s="125"/>
      <c r="M264" s="125"/>
      <c r="N264" s="126" t="s">
        <v>342</v>
      </c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</row>
    <row r="265" customFormat="false" ht="22.5" hidden="false" customHeight="true" outlineLevel="0" collapsed="false">
      <c r="A265" s="127" t="s">
        <v>85</v>
      </c>
      <c r="B265" s="127"/>
      <c r="C265" s="127"/>
      <c r="D265" s="127"/>
      <c r="E265" s="128" t="s">
        <v>2</v>
      </c>
      <c r="F265" s="128"/>
      <c r="G265" s="128"/>
      <c r="H265" s="128"/>
      <c r="I265" s="128"/>
      <c r="J265" s="128"/>
      <c r="K265" s="128"/>
      <c r="L265" s="129" t="s">
        <v>86</v>
      </c>
      <c r="M265" s="129"/>
      <c r="N265" s="129"/>
      <c r="O265" s="129"/>
      <c r="P265" s="129"/>
      <c r="Q265" s="130" t="s">
        <v>87</v>
      </c>
      <c r="R265" s="130"/>
      <c r="S265" s="130"/>
      <c r="T265" s="130"/>
      <c r="U265" s="130"/>
      <c r="V265" s="130"/>
      <c r="W265" s="130"/>
      <c r="X265" s="130"/>
    </row>
    <row r="266" customFormat="false" ht="22.5" hidden="false" customHeight="true" outlineLevel="0" collapsed="false">
      <c r="A266" s="131" t="s">
        <v>88</v>
      </c>
      <c r="B266" s="131"/>
      <c r="C266" s="131"/>
      <c r="D266" s="131"/>
      <c r="E266" s="132" t="s">
        <v>6</v>
      </c>
      <c r="F266" s="132"/>
      <c r="G266" s="132"/>
      <c r="H266" s="132"/>
      <c r="I266" s="132"/>
      <c r="J266" s="132"/>
      <c r="K266" s="132"/>
      <c r="L266" s="132" t="s">
        <v>89</v>
      </c>
      <c r="M266" s="132"/>
      <c r="N266" s="132"/>
      <c r="O266" s="132"/>
      <c r="P266" s="132"/>
      <c r="Q266" s="133" t="s">
        <v>90</v>
      </c>
      <c r="R266" s="133"/>
      <c r="S266" s="133"/>
      <c r="T266" s="134" t="s">
        <v>52</v>
      </c>
      <c r="U266" s="135" t="s">
        <v>91</v>
      </c>
      <c r="V266" s="135"/>
      <c r="W266" s="135"/>
      <c r="X266" s="136" t="s">
        <v>49</v>
      </c>
    </row>
    <row r="267" customFormat="false" ht="14.25" hidden="false" customHeight="true" outlineLevel="0" collapsed="false">
      <c r="A267" s="221"/>
      <c r="B267" s="221"/>
      <c r="C267" s="221"/>
      <c r="D267" s="221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3"/>
      <c r="R267" s="224"/>
      <c r="S267" s="224"/>
      <c r="T267" s="225"/>
      <c r="U267" s="226"/>
      <c r="V267" s="224"/>
      <c r="W267" s="224"/>
      <c r="X267" s="225"/>
    </row>
    <row r="268" customFormat="false" ht="15" hidden="false" customHeight="true" outlineLevel="0" collapsed="false">
      <c r="A268" s="151" t="s">
        <v>113</v>
      </c>
      <c r="B268" s="152"/>
      <c r="C268" s="152"/>
      <c r="D268" s="152"/>
      <c r="E268" s="153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5" t="s">
        <v>114</v>
      </c>
      <c r="V268" s="155"/>
      <c r="W268" s="155"/>
      <c r="X268" s="155"/>
    </row>
    <row r="269" customFormat="false" ht="15" hidden="false" customHeight="true" outlineLevel="0" collapsed="false">
      <c r="A269" s="227" t="s">
        <v>254</v>
      </c>
      <c r="B269" s="157"/>
      <c r="C269" s="157"/>
      <c r="D269" s="157"/>
      <c r="E269" s="157"/>
      <c r="F269" s="228"/>
      <c r="G269" s="137"/>
      <c r="H269" s="137"/>
      <c r="I269" s="137"/>
      <c r="J269" s="137"/>
      <c r="K269" s="137"/>
      <c r="L269" s="228"/>
      <c r="M269" s="158"/>
      <c r="N269" s="228"/>
      <c r="O269" s="228"/>
      <c r="P269" s="137"/>
      <c r="Q269" s="158"/>
      <c r="R269" s="159" t="s">
        <v>116</v>
      </c>
      <c r="S269" s="158"/>
      <c r="T269" s="137"/>
      <c r="U269" s="229"/>
      <c r="V269" s="229"/>
      <c r="W269" s="229"/>
      <c r="X269" s="229"/>
    </row>
    <row r="270" customFormat="false" ht="15" hidden="false" customHeight="true" outlineLevel="0" collapsed="false">
      <c r="A270" s="227" t="s">
        <v>255</v>
      </c>
      <c r="B270" s="157"/>
      <c r="C270" s="157"/>
      <c r="D270" s="157"/>
      <c r="E270" s="157"/>
      <c r="F270" s="228"/>
      <c r="G270" s="137"/>
      <c r="H270" s="137"/>
      <c r="I270" s="137"/>
      <c r="J270" s="137"/>
      <c r="K270" s="137"/>
      <c r="L270" s="228"/>
      <c r="M270" s="158"/>
      <c r="N270" s="228"/>
      <c r="O270" s="228"/>
      <c r="P270" s="137"/>
      <c r="Q270" s="158"/>
      <c r="R270" s="159" t="s">
        <v>116</v>
      </c>
      <c r="S270" s="158"/>
      <c r="T270" s="137"/>
      <c r="U270" s="229"/>
      <c r="V270" s="229"/>
      <c r="W270" s="229"/>
      <c r="X270" s="229"/>
    </row>
    <row r="271" customFormat="false" ht="15" hidden="false" customHeight="true" outlineLevel="0" collapsed="false">
      <c r="A271" s="227" t="s">
        <v>259</v>
      </c>
      <c r="B271" s="157"/>
      <c r="C271" s="157"/>
      <c r="D271" s="157"/>
      <c r="E271" s="157"/>
      <c r="F271" s="137"/>
      <c r="G271" s="137"/>
      <c r="H271" s="137"/>
      <c r="I271" s="137"/>
      <c r="J271" s="137"/>
      <c r="K271" s="137"/>
      <c r="L271" s="228"/>
      <c r="M271" s="158"/>
      <c r="N271" s="228"/>
      <c r="O271" s="228"/>
      <c r="P271" s="137"/>
      <c r="Q271" s="158"/>
      <c r="R271" s="159" t="s">
        <v>116</v>
      </c>
      <c r="S271" s="158"/>
      <c r="T271" s="335"/>
      <c r="U271" s="229"/>
      <c r="V271" s="229"/>
      <c r="W271" s="229"/>
      <c r="X271" s="229"/>
    </row>
    <row r="272" customFormat="false" ht="15" hidden="false" customHeight="true" outlineLevel="0" collapsed="false">
      <c r="A272" s="230" t="s">
        <v>257</v>
      </c>
      <c r="B272" s="163"/>
      <c r="C272" s="163"/>
      <c r="D272" s="163"/>
      <c r="E272" s="163"/>
      <c r="F272" s="164"/>
      <c r="G272" s="164"/>
      <c r="H272" s="164"/>
      <c r="I272" s="164"/>
      <c r="J272" s="164"/>
      <c r="K272" s="164"/>
      <c r="L272" s="231"/>
      <c r="M272" s="165"/>
      <c r="N272" s="231"/>
      <c r="O272" s="231"/>
      <c r="P272" s="164"/>
      <c r="Q272" s="165"/>
      <c r="R272" s="166" t="s">
        <v>116</v>
      </c>
      <c r="S272" s="165"/>
      <c r="T272" s="336"/>
      <c r="U272" s="229"/>
      <c r="V272" s="229"/>
      <c r="W272" s="229"/>
      <c r="X272" s="229"/>
    </row>
    <row r="275" customFormat="false" ht="15" hidden="false" customHeight="true" outlineLevel="0" collapsed="false">
      <c r="A275" s="232" t="s">
        <v>345</v>
      </c>
      <c r="B275" s="233"/>
      <c r="C275" s="233"/>
      <c r="D275" s="233"/>
      <c r="E275" s="233"/>
      <c r="F275" s="233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</row>
    <row r="276" customFormat="false" ht="19.5" hidden="false" customHeight="true" outlineLevel="0" collapsed="false">
      <c r="A276" s="234" t="s">
        <v>346</v>
      </c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</row>
    <row r="277" customFormat="false" ht="19.5" hidden="false" customHeight="true" outlineLevel="0" collapsed="false">
      <c r="A277" s="234" t="s">
        <v>347</v>
      </c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</row>
    <row r="278" customFormat="false" ht="9.75" hidden="false" customHeight="true" outlineLevel="0" collapsed="false">
      <c r="A278" s="235"/>
      <c r="B278" s="235"/>
      <c r="C278" s="235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2"/>
    </row>
    <row r="279" customFormat="false" ht="19.5" hidden="false" customHeight="true" outlineLevel="0" collapsed="false">
      <c r="A279" s="236" t="s">
        <v>124</v>
      </c>
      <c r="B279" s="236"/>
      <c r="C279" s="237" t="s">
        <v>260</v>
      </c>
      <c r="D279" s="237"/>
      <c r="E279" s="238" t="s">
        <v>261</v>
      </c>
      <c r="F279" s="239" t="s">
        <v>125</v>
      </c>
      <c r="G279" s="239"/>
      <c r="H279" s="239"/>
      <c r="I279" s="239"/>
      <c r="J279" s="240" t="s">
        <v>262</v>
      </c>
      <c r="K279" s="240"/>
      <c r="L279" s="240"/>
      <c r="M279" s="240"/>
      <c r="N279" s="240" t="s">
        <v>19</v>
      </c>
      <c r="O279" s="240"/>
      <c r="P279" s="240"/>
      <c r="Q279" s="240" t="s">
        <v>21</v>
      </c>
      <c r="R279" s="239" t="s">
        <v>263</v>
      </c>
      <c r="S279" s="239"/>
      <c r="T279" s="239"/>
      <c r="U279" s="240" t="s">
        <v>22</v>
      </c>
      <c r="V279" s="240"/>
      <c r="W279" s="241" t="s">
        <v>23</v>
      </c>
      <c r="X279" s="241"/>
    </row>
    <row r="280" customFormat="false" ht="15" hidden="false" customHeight="true" outlineLevel="0" collapsed="false">
      <c r="A280" s="242" t="s">
        <v>132</v>
      </c>
      <c r="B280" s="242"/>
      <c r="C280" s="243" t="s">
        <v>196</v>
      </c>
      <c r="D280" s="243"/>
      <c r="E280" s="244" t="s">
        <v>26</v>
      </c>
      <c r="F280" s="245" t="s">
        <v>198</v>
      </c>
      <c r="G280" s="245"/>
      <c r="H280" s="245"/>
      <c r="I280" s="245"/>
      <c r="J280" s="246" t="s">
        <v>201</v>
      </c>
      <c r="K280" s="246"/>
      <c r="L280" s="246"/>
      <c r="M280" s="246"/>
      <c r="N280" s="244" t="s">
        <v>348</v>
      </c>
      <c r="O280" s="244"/>
      <c r="P280" s="244"/>
      <c r="Q280" s="244" t="s">
        <v>26</v>
      </c>
      <c r="R280" s="337"/>
      <c r="S280" s="337"/>
      <c r="T280" s="337"/>
      <c r="U280" s="337"/>
      <c r="V280" s="337"/>
      <c r="W280" s="247"/>
      <c r="X280" s="247"/>
    </row>
    <row r="281" customFormat="false" ht="15" hidden="false" customHeight="true" outlineLevel="0" collapsed="false">
      <c r="A281" s="242" t="s">
        <v>132</v>
      </c>
      <c r="B281" s="242"/>
      <c r="C281" s="243" t="s">
        <v>202</v>
      </c>
      <c r="D281" s="243"/>
      <c r="E281" s="244" t="s">
        <v>26</v>
      </c>
      <c r="F281" s="245" t="s">
        <v>203</v>
      </c>
      <c r="G281" s="245"/>
      <c r="H281" s="245"/>
      <c r="I281" s="245"/>
      <c r="J281" s="246" t="s">
        <v>206</v>
      </c>
      <c r="K281" s="246"/>
      <c r="L281" s="246"/>
      <c r="M281" s="246"/>
      <c r="N281" s="244" t="s">
        <v>349</v>
      </c>
      <c r="O281" s="244"/>
      <c r="P281" s="244"/>
      <c r="Q281" s="244" t="s">
        <v>26</v>
      </c>
      <c r="R281" s="337"/>
      <c r="S281" s="337"/>
      <c r="T281" s="337"/>
      <c r="U281" s="337"/>
      <c r="V281" s="337"/>
      <c r="W281" s="247"/>
      <c r="X281" s="247"/>
    </row>
    <row r="282" customFormat="false" ht="15" hidden="false" customHeight="true" outlineLevel="0" collapsed="false">
      <c r="A282" s="242" t="s">
        <v>132</v>
      </c>
      <c r="B282" s="242"/>
      <c r="C282" s="243" t="s">
        <v>207</v>
      </c>
      <c r="D282" s="243"/>
      <c r="E282" s="244" t="s">
        <v>26</v>
      </c>
      <c r="F282" s="245" t="s">
        <v>208</v>
      </c>
      <c r="G282" s="245"/>
      <c r="H282" s="245"/>
      <c r="I282" s="245"/>
      <c r="J282" s="246" t="s">
        <v>211</v>
      </c>
      <c r="K282" s="246"/>
      <c r="L282" s="246"/>
      <c r="M282" s="246"/>
      <c r="N282" s="244" t="s">
        <v>350</v>
      </c>
      <c r="O282" s="244"/>
      <c r="P282" s="244"/>
      <c r="Q282" s="244" t="s">
        <v>26</v>
      </c>
      <c r="R282" s="337"/>
      <c r="S282" s="337"/>
      <c r="T282" s="337"/>
      <c r="U282" s="337"/>
      <c r="V282" s="337"/>
      <c r="W282" s="247"/>
      <c r="X282" s="247"/>
    </row>
    <row r="283" customFormat="false" ht="17.25" hidden="false" customHeight="true" outlineLevel="0" collapsed="false">
      <c r="A283" s="251" t="s">
        <v>235</v>
      </c>
      <c r="B283" s="251"/>
      <c r="C283" s="251"/>
      <c r="D283" s="251"/>
      <c r="E283" s="251"/>
      <c r="F283" s="251"/>
      <c r="G283" s="251"/>
      <c r="H283" s="251"/>
      <c r="I283" s="251"/>
      <c r="J283" s="252" t="s">
        <v>351</v>
      </c>
      <c r="K283" s="252"/>
      <c r="L283" s="252"/>
      <c r="M283" s="252"/>
      <c r="N283" s="253"/>
      <c r="O283" s="253"/>
      <c r="P283" s="253"/>
      <c r="Q283" s="253"/>
      <c r="R283" s="337"/>
      <c r="S283" s="337"/>
      <c r="T283" s="337"/>
      <c r="U283" s="337"/>
      <c r="V283" s="337"/>
      <c r="W283" s="247"/>
      <c r="X283" s="247"/>
    </row>
    <row r="284" customFormat="false" ht="9.75" hidden="false" customHeight="true" outlineLevel="0" collapsed="false">
      <c r="A284" s="222"/>
      <c r="B284" s="222"/>
      <c r="C284" s="222"/>
      <c r="D284" s="222"/>
      <c r="E284" s="222"/>
      <c r="F284" s="222"/>
      <c r="G284" s="222"/>
      <c r="H284" s="222"/>
      <c r="I284" s="222"/>
      <c r="J284" s="257"/>
      <c r="K284" s="257"/>
      <c r="L284" s="257"/>
      <c r="M284" s="257"/>
      <c r="N284" s="222"/>
      <c r="O284" s="222"/>
      <c r="P284" s="222"/>
      <c r="Q284" s="222"/>
      <c r="R284" s="337"/>
      <c r="S284" s="337"/>
      <c r="T284" s="337"/>
      <c r="U284" s="337"/>
      <c r="V284" s="337"/>
      <c r="W284" s="247"/>
      <c r="X284" s="247"/>
    </row>
    <row r="285" customFormat="false" ht="15" hidden="false" customHeight="true" outlineLevel="0" collapsed="false">
      <c r="A285" s="185"/>
      <c r="B285" s="327" t="s">
        <v>280</v>
      </c>
      <c r="C285" s="327"/>
      <c r="D285" s="327"/>
      <c r="E285" s="327" t="s">
        <v>282</v>
      </c>
      <c r="F285" s="327"/>
      <c r="G285" s="327"/>
      <c r="H285" s="327"/>
      <c r="I285" s="327"/>
      <c r="J285" s="240" t="s">
        <v>330</v>
      </c>
      <c r="K285" s="240"/>
      <c r="L285" s="240"/>
      <c r="M285" s="240"/>
      <c r="N285" s="240"/>
      <c r="O285" s="240"/>
      <c r="P285" s="240"/>
      <c r="Q285" s="275" t="s">
        <v>21</v>
      </c>
      <c r="R285" s="337" t="s">
        <v>263</v>
      </c>
      <c r="S285" s="337"/>
      <c r="T285" s="337"/>
      <c r="U285" s="337" t="s">
        <v>22</v>
      </c>
      <c r="V285" s="337"/>
      <c r="W285" s="247" t="s">
        <v>23</v>
      </c>
      <c r="X285" s="247"/>
    </row>
    <row r="286" customFormat="false" ht="18" hidden="false" customHeight="true" outlineLevel="0" collapsed="false">
      <c r="A286" s="185"/>
      <c r="B286" s="328" t="s">
        <v>352</v>
      </c>
      <c r="C286" s="328"/>
      <c r="D286" s="328"/>
      <c r="E286" s="329" t="s">
        <v>353</v>
      </c>
      <c r="F286" s="329"/>
      <c r="G286" s="329"/>
      <c r="H286" s="329"/>
      <c r="I286" s="329"/>
      <c r="J286" s="330"/>
      <c r="K286" s="330"/>
      <c r="L286" s="330"/>
      <c r="M286" s="330"/>
      <c r="N286" s="330"/>
      <c r="O286" s="330"/>
      <c r="P286" s="330"/>
      <c r="Q286" s="244" t="s">
        <v>26</v>
      </c>
      <c r="R286" s="337"/>
      <c r="S286" s="337"/>
      <c r="T286" s="337"/>
      <c r="U286" s="337"/>
      <c r="V286" s="337"/>
      <c r="W286" s="247"/>
      <c r="X286" s="247"/>
    </row>
    <row r="287" customFormat="false" ht="54" hidden="false" customHeight="true" outlineLevel="0" collapsed="false">
      <c r="A287" s="185"/>
      <c r="B287" s="328" t="s">
        <v>354</v>
      </c>
      <c r="C287" s="328"/>
      <c r="D287" s="328"/>
      <c r="E287" s="329" t="s">
        <v>355</v>
      </c>
      <c r="F287" s="329"/>
      <c r="G287" s="329"/>
      <c r="H287" s="329"/>
      <c r="I287" s="329"/>
      <c r="J287" s="330"/>
      <c r="K287" s="330"/>
      <c r="L287" s="330"/>
      <c r="M287" s="330"/>
      <c r="N287" s="330"/>
      <c r="O287" s="330"/>
      <c r="P287" s="330"/>
      <c r="Q287" s="244" t="s">
        <v>26</v>
      </c>
      <c r="R287" s="337"/>
      <c r="S287" s="337"/>
      <c r="T287" s="337"/>
      <c r="U287" s="337"/>
      <c r="V287" s="337"/>
      <c r="W287" s="247"/>
      <c r="X287" s="247"/>
    </row>
    <row r="288" customFormat="false" ht="36" hidden="false" customHeight="true" outlineLevel="0" collapsed="false">
      <c r="A288" s="185"/>
      <c r="B288" s="328" t="s">
        <v>356</v>
      </c>
      <c r="C288" s="328"/>
      <c r="D288" s="328"/>
      <c r="E288" s="329" t="s">
        <v>357</v>
      </c>
      <c r="F288" s="329"/>
      <c r="G288" s="329"/>
      <c r="H288" s="329"/>
      <c r="I288" s="329"/>
      <c r="J288" s="330"/>
      <c r="K288" s="330"/>
      <c r="L288" s="330"/>
      <c r="M288" s="330"/>
      <c r="N288" s="330"/>
      <c r="O288" s="330"/>
      <c r="P288" s="330"/>
      <c r="Q288" s="244" t="s">
        <v>26</v>
      </c>
      <c r="R288" s="337"/>
      <c r="S288" s="337"/>
      <c r="T288" s="337"/>
      <c r="U288" s="337"/>
      <c r="V288" s="337"/>
      <c r="W288" s="247"/>
      <c r="X288" s="247"/>
    </row>
    <row r="289" customFormat="false" ht="54" hidden="false" customHeight="true" outlineLevel="0" collapsed="false">
      <c r="A289" s="185"/>
      <c r="B289" s="328" t="s">
        <v>358</v>
      </c>
      <c r="C289" s="328"/>
      <c r="D289" s="328"/>
      <c r="E289" s="329" t="s">
        <v>359</v>
      </c>
      <c r="F289" s="329"/>
      <c r="G289" s="329"/>
      <c r="H289" s="329"/>
      <c r="I289" s="329"/>
      <c r="J289" s="330"/>
      <c r="K289" s="330"/>
      <c r="L289" s="330"/>
      <c r="M289" s="330"/>
      <c r="N289" s="330"/>
      <c r="O289" s="330"/>
      <c r="P289" s="330"/>
      <c r="Q289" s="244" t="s">
        <v>26</v>
      </c>
      <c r="R289" s="337"/>
      <c r="S289" s="337"/>
      <c r="T289" s="337"/>
      <c r="U289" s="337"/>
      <c r="V289" s="337"/>
      <c r="W289" s="247"/>
      <c r="X289" s="247"/>
    </row>
    <row r="290" customFormat="false" ht="19.5" hidden="false" customHeight="true" outlineLevel="0" collapsed="false">
      <c r="A290" s="185"/>
      <c r="B290" s="283"/>
      <c r="C290" s="283"/>
      <c r="D290" s="283"/>
      <c r="E290" s="283"/>
      <c r="F290" s="283"/>
      <c r="G290" s="283"/>
      <c r="H290" s="283"/>
      <c r="I290" s="283"/>
      <c r="J290" s="333"/>
      <c r="K290" s="333"/>
      <c r="L290" s="333"/>
      <c r="M290" s="333"/>
      <c r="N290" s="333"/>
      <c r="O290" s="333"/>
      <c r="P290" s="333"/>
      <c r="Q290" s="283"/>
      <c r="R290" s="334"/>
      <c r="S290" s="334"/>
      <c r="T290" s="334"/>
      <c r="U290" s="334"/>
      <c r="V290" s="334"/>
      <c r="W290" s="334"/>
      <c r="X290" s="334"/>
    </row>
    <row r="291" customFormat="false" ht="18.75" hidden="false" customHeight="true" outlineLevel="0" collapsed="false">
      <c r="A291" s="124" t="s">
        <v>82</v>
      </c>
    </row>
    <row r="292" customFormat="false" ht="33.75" hidden="false" customHeight="true" outlineLevel="0" collapsed="false">
      <c r="A292" s="214"/>
      <c r="B292" s="214"/>
      <c r="C292" s="214"/>
      <c r="D292" s="214"/>
      <c r="E292" s="214"/>
      <c r="F292" s="125" t="s">
        <v>360</v>
      </c>
      <c r="G292" s="125"/>
      <c r="H292" s="125"/>
      <c r="I292" s="125"/>
      <c r="J292" s="125"/>
      <c r="K292" s="125"/>
      <c r="L292" s="125"/>
      <c r="M292" s="125"/>
      <c r="N292" s="126" t="s">
        <v>342</v>
      </c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</row>
    <row r="293" customFormat="false" ht="22.5" hidden="false" customHeight="true" outlineLevel="0" collapsed="false">
      <c r="A293" s="127" t="s">
        <v>85</v>
      </c>
      <c r="B293" s="127"/>
      <c r="C293" s="127"/>
      <c r="D293" s="127"/>
      <c r="E293" s="128" t="s">
        <v>2</v>
      </c>
      <c r="F293" s="128"/>
      <c r="G293" s="128"/>
      <c r="H293" s="128"/>
      <c r="I293" s="128"/>
      <c r="J293" s="128"/>
      <c r="K293" s="128"/>
      <c r="L293" s="129" t="s">
        <v>86</v>
      </c>
      <c r="M293" s="129"/>
      <c r="N293" s="129"/>
      <c r="O293" s="129"/>
      <c r="P293" s="129"/>
      <c r="Q293" s="130" t="s">
        <v>87</v>
      </c>
      <c r="R293" s="130"/>
      <c r="S293" s="130"/>
      <c r="T293" s="130"/>
      <c r="U293" s="130"/>
      <c r="V293" s="130"/>
      <c r="W293" s="130"/>
      <c r="X293" s="130"/>
    </row>
    <row r="294" customFormat="false" ht="22.5" hidden="false" customHeight="true" outlineLevel="0" collapsed="false">
      <c r="A294" s="131" t="s">
        <v>88</v>
      </c>
      <c r="B294" s="131"/>
      <c r="C294" s="131"/>
      <c r="D294" s="131"/>
      <c r="E294" s="132" t="s">
        <v>6</v>
      </c>
      <c r="F294" s="132"/>
      <c r="G294" s="132"/>
      <c r="H294" s="132"/>
      <c r="I294" s="132"/>
      <c r="J294" s="132"/>
      <c r="K294" s="132"/>
      <c r="L294" s="132" t="s">
        <v>89</v>
      </c>
      <c r="M294" s="132"/>
      <c r="N294" s="132"/>
      <c r="O294" s="132"/>
      <c r="P294" s="132"/>
      <c r="Q294" s="133" t="s">
        <v>90</v>
      </c>
      <c r="R294" s="133"/>
      <c r="S294" s="133"/>
      <c r="T294" s="134" t="s">
        <v>52</v>
      </c>
      <c r="U294" s="135" t="s">
        <v>91</v>
      </c>
      <c r="V294" s="135"/>
      <c r="W294" s="135"/>
      <c r="X294" s="136" t="s">
        <v>49</v>
      </c>
    </row>
    <row r="295" customFormat="false" ht="14.25" hidden="false" customHeight="true" outlineLevel="0" collapsed="false">
      <c r="A295" s="221"/>
      <c r="B295" s="221"/>
      <c r="C295" s="221"/>
      <c r="D295" s="221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3"/>
      <c r="R295" s="224"/>
      <c r="S295" s="224"/>
      <c r="T295" s="225"/>
      <c r="U295" s="226"/>
      <c r="V295" s="224"/>
      <c r="W295" s="224"/>
      <c r="X295" s="225"/>
    </row>
    <row r="296" customFormat="false" ht="15" hidden="false" customHeight="true" outlineLevel="0" collapsed="false">
      <c r="A296" s="232" t="s">
        <v>361</v>
      </c>
      <c r="B296" s="233"/>
      <c r="C296" s="233"/>
      <c r="D296" s="233"/>
      <c r="E296" s="233"/>
      <c r="F296" s="233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</row>
    <row r="297" customFormat="false" ht="19.5" hidden="false" customHeight="true" outlineLevel="0" collapsed="false">
      <c r="A297" s="234" t="s">
        <v>346</v>
      </c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</row>
    <row r="298" customFormat="false" ht="19.5" hidden="false" customHeight="true" outlineLevel="0" collapsed="false">
      <c r="A298" s="234" t="s">
        <v>347</v>
      </c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</row>
    <row r="299" customFormat="false" ht="9.75" hidden="false" customHeight="true" outlineLevel="0" collapsed="false">
      <c r="A299" s="235"/>
      <c r="B299" s="235"/>
      <c r="C299" s="235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2"/>
    </row>
    <row r="300" customFormat="false" ht="19.5" hidden="false" customHeight="true" outlineLevel="0" collapsed="false">
      <c r="A300" s="236" t="s">
        <v>124</v>
      </c>
      <c r="B300" s="236"/>
      <c r="C300" s="237" t="s">
        <v>260</v>
      </c>
      <c r="D300" s="237"/>
      <c r="E300" s="238" t="s">
        <v>261</v>
      </c>
      <c r="F300" s="239" t="s">
        <v>125</v>
      </c>
      <c r="G300" s="239"/>
      <c r="H300" s="239"/>
      <c r="I300" s="239"/>
      <c r="J300" s="240" t="s">
        <v>262</v>
      </c>
      <c r="K300" s="240"/>
      <c r="L300" s="240"/>
      <c r="M300" s="240"/>
      <c r="N300" s="240" t="s">
        <v>19</v>
      </c>
      <c r="O300" s="240"/>
      <c r="P300" s="240"/>
      <c r="Q300" s="240" t="s">
        <v>21</v>
      </c>
      <c r="R300" s="239" t="s">
        <v>263</v>
      </c>
      <c r="S300" s="239"/>
      <c r="T300" s="239"/>
      <c r="U300" s="240" t="s">
        <v>22</v>
      </c>
      <c r="V300" s="240"/>
      <c r="W300" s="241" t="s">
        <v>23</v>
      </c>
      <c r="X300" s="241"/>
    </row>
    <row r="301" customFormat="false" ht="15" hidden="false" customHeight="true" outlineLevel="0" collapsed="false">
      <c r="A301" s="242" t="s">
        <v>132</v>
      </c>
      <c r="B301" s="242"/>
      <c r="C301" s="243" t="s">
        <v>212</v>
      </c>
      <c r="D301" s="243"/>
      <c r="E301" s="244" t="s">
        <v>26</v>
      </c>
      <c r="F301" s="245" t="s">
        <v>214</v>
      </c>
      <c r="G301" s="245"/>
      <c r="H301" s="245"/>
      <c r="I301" s="245"/>
      <c r="J301" s="246" t="s">
        <v>217</v>
      </c>
      <c r="K301" s="246"/>
      <c r="L301" s="246"/>
      <c r="M301" s="246"/>
      <c r="N301" s="244" t="s">
        <v>362</v>
      </c>
      <c r="O301" s="244"/>
      <c r="P301" s="244"/>
      <c r="Q301" s="244" t="s">
        <v>26</v>
      </c>
      <c r="R301" s="337"/>
      <c r="S301" s="337"/>
      <c r="T301" s="337"/>
      <c r="U301" s="337"/>
      <c r="V301" s="337"/>
      <c r="W301" s="247"/>
      <c r="X301" s="247"/>
    </row>
    <row r="302" customFormat="false" ht="15" hidden="false" customHeight="true" outlineLevel="0" collapsed="false">
      <c r="A302" s="242" t="s">
        <v>132</v>
      </c>
      <c r="B302" s="242"/>
      <c r="C302" s="243" t="s">
        <v>218</v>
      </c>
      <c r="D302" s="243"/>
      <c r="E302" s="244" t="s">
        <v>26</v>
      </c>
      <c r="F302" s="245" t="s">
        <v>219</v>
      </c>
      <c r="G302" s="245"/>
      <c r="H302" s="245"/>
      <c r="I302" s="245"/>
      <c r="J302" s="246" t="s">
        <v>178</v>
      </c>
      <c r="K302" s="246"/>
      <c r="L302" s="246"/>
      <c r="M302" s="246"/>
      <c r="N302" s="244" t="s">
        <v>362</v>
      </c>
      <c r="O302" s="244"/>
      <c r="P302" s="244"/>
      <c r="Q302" s="244" t="s">
        <v>26</v>
      </c>
      <c r="R302" s="337"/>
      <c r="S302" s="337"/>
      <c r="T302" s="337"/>
      <c r="U302" s="337"/>
      <c r="V302" s="337"/>
      <c r="W302" s="247"/>
      <c r="X302" s="247"/>
    </row>
    <row r="303" customFormat="false" ht="15" hidden="false" customHeight="true" outlineLevel="0" collapsed="false">
      <c r="A303" s="242" t="s">
        <v>182</v>
      </c>
      <c r="B303" s="242"/>
      <c r="C303" s="243" t="s">
        <v>220</v>
      </c>
      <c r="D303" s="243"/>
      <c r="E303" s="244" t="s">
        <v>26</v>
      </c>
      <c r="F303" s="245" t="s">
        <v>221</v>
      </c>
      <c r="G303" s="245"/>
      <c r="H303" s="245"/>
      <c r="I303" s="245"/>
      <c r="J303" s="246" t="s">
        <v>137</v>
      </c>
      <c r="K303" s="246"/>
      <c r="L303" s="246"/>
      <c r="M303" s="246"/>
      <c r="N303" s="244" t="s">
        <v>363</v>
      </c>
      <c r="O303" s="244"/>
      <c r="P303" s="244"/>
      <c r="Q303" s="244" t="s">
        <v>26</v>
      </c>
      <c r="R303" s="337"/>
      <c r="S303" s="337"/>
      <c r="T303" s="337"/>
      <c r="U303" s="337"/>
      <c r="V303" s="337"/>
      <c r="W303" s="247"/>
      <c r="X303" s="247"/>
    </row>
    <row r="304" customFormat="false" ht="15" hidden="false" customHeight="true" outlineLevel="0" collapsed="false">
      <c r="A304" s="242" t="s">
        <v>182</v>
      </c>
      <c r="B304" s="242"/>
      <c r="C304" s="243" t="s">
        <v>222</v>
      </c>
      <c r="D304" s="243"/>
      <c r="E304" s="244" t="s">
        <v>26</v>
      </c>
      <c r="F304" s="245" t="s">
        <v>223</v>
      </c>
      <c r="G304" s="245"/>
      <c r="H304" s="245"/>
      <c r="I304" s="245"/>
      <c r="J304" s="246" t="s">
        <v>137</v>
      </c>
      <c r="K304" s="246"/>
      <c r="L304" s="246"/>
      <c r="M304" s="246"/>
      <c r="N304" s="244" t="s">
        <v>364</v>
      </c>
      <c r="O304" s="244"/>
      <c r="P304" s="244"/>
      <c r="Q304" s="244" t="s">
        <v>26</v>
      </c>
      <c r="R304" s="337"/>
      <c r="S304" s="337"/>
      <c r="T304" s="337"/>
      <c r="U304" s="337"/>
      <c r="V304" s="337"/>
      <c r="W304" s="247"/>
      <c r="X304" s="247"/>
    </row>
    <row r="305" customFormat="false" ht="15" hidden="false" customHeight="true" outlineLevel="0" collapsed="false">
      <c r="A305" s="242" t="s">
        <v>132</v>
      </c>
      <c r="B305" s="242"/>
      <c r="C305" s="243" t="s">
        <v>224</v>
      </c>
      <c r="D305" s="243"/>
      <c r="E305" s="244" t="s">
        <v>26</v>
      </c>
      <c r="F305" s="245" t="s">
        <v>225</v>
      </c>
      <c r="G305" s="245"/>
      <c r="H305" s="245"/>
      <c r="I305" s="245"/>
      <c r="J305" s="246" t="s">
        <v>228</v>
      </c>
      <c r="K305" s="246"/>
      <c r="L305" s="246"/>
      <c r="M305" s="246"/>
      <c r="N305" s="244" t="s">
        <v>362</v>
      </c>
      <c r="O305" s="244"/>
      <c r="P305" s="244"/>
      <c r="Q305" s="244" t="s">
        <v>26</v>
      </c>
      <c r="R305" s="337"/>
      <c r="S305" s="337"/>
      <c r="T305" s="337"/>
      <c r="U305" s="337"/>
      <c r="V305" s="337"/>
      <c r="W305" s="247"/>
      <c r="X305" s="247"/>
    </row>
    <row r="306" customFormat="false" ht="17.25" hidden="false" customHeight="true" outlineLevel="0" collapsed="false">
      <c r="A306" s="251" t="s">
        <v>235</v>
      </c>
      <c r="B306" s="251"/>
      <c r="C306" s="251"/>
      <c r="D306" s="251"/>
      <c r="E306" s="251"/>
      <c r="F306" s="251"/>
      <c r="G306" s="251"/>
      <c r="H306" s="251"/>
      <c r="I306" s="251"/>
      <c r="J306" s="252" t="s">
        <v>365</v>
      </c>
      <c r="K306" s="252"/>
      <c r="L306" s="252"/>
      <c r="M306" s="252"/>
      <c r="N306" s="253"/>
      <c r="O306" s="253"/>
      <c r="P306" s="253"/>
      <c r="Q306" s="253"/>
      <c r="R306" s="337"/>
      <c r="S306" s="337"/>
      <c r="T306" s="337"/>
      <c r="U306" s="337"/>
      <c r="V306" s="337"/>
      <c r="W306" s="247"/>
      <c r="X306" s="247"/>
    </row>
    <row r="307" customFormat="false" ht="9.75" hidden="false" customHeight="true" outlineLevel="0" collapsed="false">
      <c r="A307" s="222"/>
      <c r="B307" s="222"/>
      <c r="C307" s="222"/>
      <c r="D307" s="222"/>
      <c r="E307" s="222"/>
      <c r="F307" s="222"/>
      <c r="G307" s="222"/>
      <c r="H307" s="222"/>
      <c r="I307" s="222"/>
      <c r="J307" s="257"/>
      <c r="K307" s="257"/>
      <c r="L307" s="257"/>
      <c r="M307" s="257"/>
      <c r="N307" s="222"/>
      <c r="O307" s="222"/>
      <c r="P307" s="222"/>
      <c r="Q307" s="222"/>
      <c r="R307" s="337"/>
      <c r="S307" s="337"/>
      <c r="T307" s="337"/>
      <c r="U307" s="337"/>
      <c r="V307" s="337"/>
      <c r="W307" s="247"/>
      <c r="X307" s="247"/>
    </row>
    <row r="308" customFormat="false" ht="15" hidden="false" customHeight="true" outlineLevel="0" collapsed="false">
      <c r="A308" s="185"/>
      <c r="B308" s="327" t="s">
        <v>280</v>
      </c>
      <c r="C308" s="327"/>
      <c r="D308" s="327"/>
      <c r="E308" s="327" t="s">
        <v>282</v>
      </c>
      <c r="F308" s="327"/>
      <c r="G308" s="327"/>
      <c r="H308" s="327"/>
      <c r="I308" s="327"/>
      <c r="J308" s="240" t="s">
        <v>330</v>
      </c>
      <c r="K308" s="240"/>
      <c r="L308" s="240"/>
      <c r="M308" s="240"/>
      <c r="N308" s="240"/>
      <c r="O308" s="240"/>
      <c r="P308" s="240"/>
      <c r="Q308" s="275" t="s">
        <v>21</v>
      </c>
      <c r="R308" s="337" t="s">
        <v>263</v>
      </c>
      <c r="S308" s="337"/>
      <c r="T308" s="337"/>
      <c r="U308" s="337" t="s">
        <v>22</v>
      </c>
      <c r="V308" s="337"/>
      <c r="W308" s="247" t="s">
        <v>23</v>
      </c>
      <c r="X308" s="247"/>
    </row>
    <row r="309" customFormat="false" ht="18" hidden="false" customHeight="true" outlineLevel="0" collapsed="false">
      <c r="A309" s="185"/>
      <c r="B309" s="328" t="s">
        <v>352</v>
      </c>
      <c r="C309" s="328"/>
      <c r="D309" s="328"/>
      <c r="E309" s="329" t="s">
        <v>353</v>
      </c>
      <c r="F309" s="329"/>
      <c r="G309" s="329"/>
      <c r="H309" s="329"/>
      <c r="I309" s="329"/>
      <c r="J309" s="330"/>
      <c r="K309" s="330"/>
      <c r="L309" s="330"/>
      <c r="M309" s="330"/>
      <c r="N309" s="330"/>
      <c r="O309" s="330"/>
      <c r="P309" s="330"/>
      <c r="Q309" s="244" t="s">
        <v>26</v>
      </c>
      <c r="R309" s="337"/>
      <c r="S309" s="337"/>
      <c r="T309" s="337"/>
      <c r="U309" s="337"/>
      <c r="V309" s="337"/>
      <c r="W309" s="247"/>
      <c r="X309" s="247"/>
    </row>
    <row r="310" customFormat="false" ht="54" hidden="false" customHeight="true" outlineLevel="0" collapsed="false">
      <c r="A310" s="185"/>
      <c r="B310" s="328" t="s">
        <v>354</v>
      </c>
      <c r="C310" s="328"/>
      <c r="D310" s="328"/>
      <c r="E310" s="329" t="s">
        <v>355</v>
      </c>
      <c r="F310" s="329"/>
      <c r="G310" s="329"/>
      <c r="H310" s="329"/>
      <c r="I310" s="329"/>
      <c r="J310" s="330"/>
      <c r="K310" s="330"/>
      <c r="L310" s="330"/>
      <c r="M310" s="330"/>
      <c r="N310" s="330"/>
      <c r="O310" s="330"/>
      <c r="P310" s="330"/>
      <c r="Q310" s="244" t="s">
        <v>26</v>
      </c>
      <c r="R310" s="337"/>
      <c r="S310" s="337"/>
      <c r="T310" s="337"/>
      <c r="U310" s="337"/>
      <c r="V310" s="337"/>
      <c r="W310" s="247"/>
      <c r="X310" s="247"/>
    </row>
    <row r="311" customFormat="false" ht="36" hidden="false" customHeight="true" outlineLevel="0" collapsed="false">
      <c r="A311" s="185"/>
      <c r="B311" s="328" t="s">
        <v>356</v>
      </c>
      <c r="C311" s="328"/>
      <c r="D311" s="328"/>
      <c r="E311" s="329" t="s">
        <v>357</v>
      </c>
      <c r="F311" s="329"/>
      <c r="G311" s="329"/>
      <c r="H311" s="329"/>
      <c r="I311" s="329"/>
      <c r="J311" s="330"/>
      <c r="K311" s="330"/>
      <c r="L311" s="330"/>
      <c r="M311" s="330"/>
      <c r="N311" s="330"/>
      <c r="O311" s="330"/>
      <c r="P311" s="330"/>
      <c r="Q311" s="244" t="s">
        <v>26</v>
      </c>
      <c r="R311" s="337"/>
      <c r="S311" s="337"/>
      <c r="T311" s="337"/>
      <c r="U311" s="337"/>
      <c r="V311" s="337"/>
      <c r="W311" s="247"/>
      <c r="X311" s="247"/>
    </row>
    <row r="312" customFormat="false" ht="36" hidden="false" customHeight="true" outlineLevel="0" collapsed="false">
      <c r="A312" s="185"/>
      <c r="B312" s="328" t="s">
        <v>358</v>
      </c>
      <c r="C312" s="328"/>
      <c r="D312" s="328"/>
      <c r="E312" s="329" t="s">
        <v>366</v>
      </c>
      <c r="F312" s="329"/>
      <c r="G312" s="329"/>
      <c r="H312" s="329"/>
      <c r="I312" s="329"/>
      <c r="J312" s="330"/>
      <c r="K312" s="330"/>
      <c r="L312" s="330"/>
      <c r="M312" s="330"/>
      <c r="N312" s="330"/>
      <c r="O312" s="330"/>
      <c r="P312" s="330"/>
      <c r="Q312" s="244" t="s">
        <v>26</v>
      </c>
      <c r="R312" s="337"/>
      <c r="S312" s="337"/>
      <c r="T312" s="337"/>
      <c r="U312" s="337"/>
      <c r="V312" s="337"/>
      <c r="W312" s="247"/>
      <c r="X312" s="247"/>
    </row>
    <row r="313" customFormat="false" ht="18" hidden="false" customHeight="true" outlineLevel="0" collapsed="false">
      <c r="A313" s="185"/>
      <c r="B313" s="328" t="s">
        <v>367</v>
      </c>
      <c r="C313" s="328"/>
      <c r="D313" s="328"/>
      <c r="E313" s="329" t="s">
        <v>368</v>
      </c>
      <c r="F313" s="329"/>
      <c r="G313" s="329"/>
      <c r="H313" s="329"/>
      <c r="I313" s="329"/>
      <c r="J313" s="330"/>
      <c r="K313" s="330"/>
      <c r="L313" s="330"/>
      <c r="M313" s="330"/>
      <c r="N313" s="330"/>
      <c r="O313" s="330"/>
      <c r="P313" s="330"/>
      <c r="Q313" s="244" t="s">
        <v>26</v>
      </c>
      <c r="R313" s="337"/>
      <c r="S313" s="337"/>
      <c r="T313" s="337"/>
      <c r="U313" s="337"/>
      <c r="V313" s="337"/>
      <c r="W313" s="247"/>
      <c r="X313" s="247"/>
    </row>
    <row r="314" customFormat="false" ht="19.5" hidden="false" customHeight="true" outlineLevel="0" collapsed="false">
      <c r="A314" s="185"/>
      <c r="B314" s="283"/>
      <c r="C314" s="283"/>
      <c r="D314" s="283"/>
      <c r="E314" s="283"/>
      <c r="F314" s="283"/>
      <c r="G314" s="283"/>
      <c r="H314" s="283"/>
      <c r="I314" s="283"/>
      <c r="J314" s="333"/>
      <c r="K314" s="333"/>
      <c r="L314" s="333"/>
      <c r="M314" s="333"/>
      <c r="N314" s="333"/>
      <c r="O314" s="333"/>
      <c r="P314" s="333"/>
      <c r="Q314" s="283"/>
      <c r="R314" s="334"/>
      <c r="S314" s="334"/>
      <c r="T314" s="334"/>
      <c r="U314" s="334"/>
      <c r="V314" s="334"/>
      <c r="W314" s="334"/>
      <c r="X314" s="334"/>
    </row>
    <row r="315" customFormat="false" ht="18" hidden="false" customHeight="true" outlineLevel="0" collapsed="false">
      <c r="A315" s="338" t="s">
        <v>369</v>
      </c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</row>
    <row r="316" customFormat="false" ht="9.75" hidden="false" customHeight="true" outlineLevel="0" collapsed="false">
      <c r="A316" s="339"/>
      <c r="B316" s="339"/>
      <c r="C316" s="339"/>
      <c r="D316" s="339"/>
      <c r="E316" s="340"/>
      <c r="F316" s="340"/>
      <c r="G316" s="340"/>
      <c r="H316" s="340"/>
      <c r="I316" s="341"/>
      <c r="J316" s="341"/>
      <c r="K316" s="341"/>
      <c r="L316" s="342"/>
      <c r="M316" s="342"/>
      <c r="N316" s="342"/>
      <c r="O316" s="339"/>
      <c r="P316" s="339"/>
      <c r="Q316" s="222"/>
      <c r="R316" s="225"/>
      <c r="S316" s="225"/>
      <c r="T316" s="225"/>
      <c r="U316" s="225"/>
      <c r="V316" s="225"/>
      <c r="W316" s="225"/>
      <c r="X316" s="225"/>
    </row>
    <row r="317" customFormat="false" ht="18.75" hidden="false" customHeight="true" outlineLevel="0" collapsed="false">
      <c r="A317" s="124" t="s">
        <v>82</v>
      </c>
    </row>
    <row r="318" customFormat="false" ht="33.75" hidden="false" customHeight="true" outlineLevel="0" collapsed="false">
      <c r="A318" s="214"/>
      <c r="B318" s="214"/>
      <c r="C318" s="214"/>
      <c r="D318" s="214"/>
      <c r="E318" s="214"/>
      <c r="F318" s="125" t="s">
        <v>370</v>
      </c>
      <c r="G318" s="125"/>
      <c r="H318" s="125"/>
      <c r="I318" s="125"/>
      <c r="J318" s="125"/>
      <c r="K318" s="125"/>
      <c r="L318" s="125"/>
      <c r="M318" s="125"/>
      <c r="N318" s="126" t="s">
        <v>342</v>
      </c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</row>
    <row r="319" customFormat="false" ht="22.5" hidden="false" customHeight="true" outlineLevel="0" collapsed="false">
      <c r="A319" s="127" t="s">
        <v>85</v>
      </c>
      <c r="B319" s="127"/>
      <c r="C319" s="127"/>
      <c r="D319" s="127"/>
      <c r="E319" s="128" t="s">
        <v>2</v>
      </c>
      <c r="F319" s="128"/>
      <c r="G319" s="128"/>
      <c r="H319" s="128"/>
      <c r="I319" s="128"/>
      <c r="J319" s="128"/>
      <c r="K319" s="128"/>
      <c r="L319" s="129" t="s">
        <v>86</v>
      </c>
      <c r="M319" s="129"/>
      <c r="N319" s="129"/>
      <c r="O319" s="129"/>
      <c r="P319" s="129"/>
      <c r="Q319" s="130" t="s">
        <v>87</v>
      </c>
      <c r="R319" s="130"/>
      <c r="S319" s="130"/>
      <c r="T319" s="130"/>
      <c r="U319" s="130"/>
      <c r="V319" s="130"/>
      <c r="W319" s="130"/>
      <c r="X319" s="130"/>
    </row>
    <row r="320" customFormat="false" ht="22.5" hidden="false" customHeight="true" outlineLevel="0" collapsed="false">
      <c r="A320" s="131" t="s">
        <v>88</v>
      </c>
      <c r="B320" s="131"/>
      <c r="C320" s="131"/>
      <c r="D320" s="131"/>
      <c r="E320" s="132" t="s">
        <v>6</v>
      </c>
      <c r="F320" s="132"/>
      <c r="G320" s="132"/>
      <c r="H320" s="132"/>
      <c r="I320" s="132"/>
      <c r="J320" s="132"/>
      <c r="K320" s="132"/>
      <c r="L320" s="132" t="s">
        <v>89</v>
      </c>
      <c r="M320" s="132"/>
      <c r="N320" s="132"/>
      <c r="O320" s="132"/>
      <c r="P320" s="132"/>
      <c r="Q320" s="133" t="s">
        <v>90</v>
      </c>
      <c r="R320" s="133"/>
      <c r="S320" s="133"/>
      <c r="T320" s="134" t="s">
        <v>52</v>
      </c>
      <c r="U320" s="135" t="s">
        <v>91</v>
      </c>
      <c r="V320" s="135"/>
      <c r="W320" s="135"/>
      <c r="X320" s="136" t="s">
        <v>49</v>
      </c>
    </row>
    <row r="321" customFormat="false" ht="14.25" hidden="false" customHeight="true" outlineLevel="0" collapsed="false">
      <c r="A321" s="221"/>
      <c r="B321" s="221"/>
      <c r="C321" s="221"/>
      <c r="D321" s="221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3"/>
      <c r="R321" s="224"/>
      <c r="S321" s="224"/>
      <c r="T321" s="225"/>
      <c r="U321" s="226"/>
      <c r="V321" s="224"/>
      <c r="W321" s="224"/>
      <c r="X321" s="225"/>
    </row>
    <row r="322" customFormat="false" ht="15" hidden="false" customHeight="true" outlineLevel="0" collapsed="false">
      <c r="A322" s="232" t="s">
        <v>371</v>
      </c>
      <c r="B322" s="233"/>
      <c r="C322" s="233"/>
      <c r="D322" s="233"/>
      <c r="E322" s="233"/>
      <c r="F322" s="233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</row>
    <row r="323" customFormat="false" ht="19.5" hidden="false" customHeight="true" outlineLevel="0" collapsed="false">
      <c r="A323" s="234" t="s">
        <v>346</v>
      </c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</row>
    <row r="324" customFormat="false" ht="19.5" hidden="false" customHeight="true" outlineLevel="0" collapsed="false">
      <c r="A324" s="234" t="s">
        <v>347</v>
      </c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</row>
    <row r="325" customFormat="false" ht="9.75" hidden="false" customHeight="true" outlineLevel="0" collapsed="false">
      <c r="A325" s="235"/>
      <c r="B325" s="235"/>
      <c r="C325" s="235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2"/>
    </row>
    <row r="326" customFormat="false" ht="19.5" hidden="false" customHeight="true" outlineLevel="0" collapsed="false">
      <c r="A326" s="236" t="s">
        <v>124</v>
      </c>
      <c r="B326" s="236"/>
      <c r="C326" s="237" t="s">
        <v>260</v>
      </c>
      <c r="D326" s="237"/>
      <c r="E326" s="238" t="s">
        <v>261</v>
      </c>
      <c r="F326" s="239" t="s">
        <v>125</v>
      </c>
      <c r="G326" s="239"/>
      <c r="H326" s="239"/>
      <c r="I326" s="239"/>
      <c r="J326" s="240" t="s">
        <v>262</v>
      </c>
      <c r="K326" s="240"/>
      <c r="L326" s="240"/>
      <c r="M326" s="240"/>
      <c r="N326" s="240" t="s">
        <v>19</v>
      </c>
      <c r="O326" s="240"/>
      <c r="P326" s="240"/>
      <c r="Q326" s="240" t="s">
        <v>21</v>
      </c>
      <c r="R326" s="239" t="s">
        <v>263</v>
      </c>
      <c r="S326" s="239"/>
      <c r="T326" s="239"/>
      <c r="U326" s="240" t="s">
        <v>22</v>
      </c>
      <c r="V326" s="240"/>
      <c r="W326" s="241" t="s">
        <v>23</v>
      </c>
      <c r="X326" s="241"/>
    </row>
    <row r="327" customFormat="false" ht="15" hidden="false" customHeight="true" outlineLevel="0" collapsed="false">
      <c r="A327" s="242" t="s">
        <v>132</v>
      </c>
      <c r="B327" s="242"/>
      <c r="C327" s="243" t="s">
        <v>229</v>
      </c>
      <c r="D327" s="243"/>
      <c r="E327" s="244" t="s">
        <v>26</v>
      </c>
      <c r="F327" s="245" t="s">
        <v>231</v>
      </c>
      <c r="G327" s="245"/>
      <c r="H327" s="245"/>
      <c r="I327" s="245"/>
      <c r="J327" s="246" t="s">
        <v>234</v>
      </c>
      <c r="K327" s="246"/>
      <c r="L327" s="246"/>
      <c r="M327" s="246"/>
      <c r="N327" s="244" t="s">
        <v>348</v>
      </c>
      <c r="O327" s="244"/>
      <c r="P327" s="244"/>
      <c r="Q327" s="244" t="s">
        <v>26</v>
      </c>
      <c r="R327" s="337"/>
      <c r="S327" s="337"/>
      <c r="T327" s="337"/>
      <c r="U327" s="337"/>
      <c r="V327" s="337"/>
      <c r="W327" s="247"/>
      <c r="X327" s="247"/>
    </row>
    <row r="328" customFormat="false" ht="17.25" hidden="false" customHeight="true" outlineLevel="0" collapsed="false">
      <c r="A328" s="251" t="s">
        <v>235</v>
      </c>
      <c r="B328" s="251"/>
      <c r="C328" s="251"/>
      <c r="D328" s="251"/>
      <c r="E328" s="251"/>
      <c r="F328" s="251"/>
      <c r="G328" s="251"/>
      <c r="H328" s="251"/>
      <c r="I328" s="251"/>
      <c r="J328" s="252" t="s">
        <v>234</v>
      </c>
      <c r="K328" s="252"/>
      <c r="L328" s="252"/>
      <c r="M328" s="252"/>
      <c r="N328" s="253"/>
      <c r="O328" s="253"/>
      <c r="P328" s="253"/>
      <c r="Q328" s="253"/>
      <c r="R328" s="337"/>
      <c r="S328" s="337"/>
      <c r="T328" s="337"/>
      <c r="U328" s="337"/>
      <c r="V328" s="337"/>
      <c r="W328" s="247"/>
      <c r="X328" s="247"/>
    </row>
    <row r="329" customFormat="false" ht="9.75" hidden="false" customHeight="true" outlineLevel="0" collapsed="false">
      <c r="A329" s="222"/>
      <c r="B329" s="222"/>
      <c r="C329" s="222"/>
      <c r="D329" s="222"/>
      <c r="E329" s="222"/>
      <c r="F329" s="222"/>
      <c r="G329" s="222"/>
      <c r="H329" s="222"/>
      <c r="I329" s="222"/>
      <c r="J329" s="257"/>
      <c r="K329" s="257"/>
      <c r="L329" s="257"/>
      <c r="M329" s="257"/>
      <c r="N329" s="222"/>
      <c r="O329" s="222"/>
      <c r="P329" s="222"/>
      <c r="Q329" s="222"/>
      <c r="R329" s="337"/>
      <c r="S329" s="337"/>
      <c r="T329" s="337"/>
      <c r="U329" s="337"/>
      <c r="V329" s="337"/>
      <c r="W329" s="247"/>
      <c r="X329" s="247"/>
    </row>
    <row r="330" customFormat="false" ht="15" hidden="false" customHeight="true" outlineLevel="0" collapsed="false">
      <c r="A330" s="185"/>
      <c r="B330" s="327" t="s">
        <v>280</v>
      </c>
      <c r="C330" s="327"/>
      <c r="D330" s="327"/>
      <c r="E330" s="327" t="s">
        <v>282</v>
      </c>
      <c r="F330" s="327"/>
      <c r="G330" s="327"/>
      <c r="H330" s="327"/>
      <c r="I330" s="327"/>
      <c r="J330" s="240" t="s">
        <v>330</v>
      </c>
      <c r="K330" s="240"/>
      <c r="L330" s="240"/>
      <c r="M330" s="240"/>
      <c r="N330" s="240"/>
      <c r="O330" s="240"/>
      <c r="P330" s="240"/>
      <c r="Q330" s="275" t="s">
        <v>21</v>
      </c>
      <c r="R330" s="337" t="s">
        <v>263</v>
      </c>
      <c r="S330" s="337"/>
      <c r="T330" s="337"/>
      <c r="U330" s="337" t="s">
        <v>22</v>
      </c>
      <c r="V330" s="337"/>
      <c r="W330" s="247" t="s">
        <v>23</v>
      </c>
      <c r="X330" s="247"/>
    </row>
    <row r="331" customFormat="false" ht="18" hidden="false" customHeight="true" outlineLevel="0" collapsed="false">
      <c r="A331" s="185"/>
      <c r="B331" s="328" t="s">
        <v>352</v>
      </c>
      <c r="C331" s="328"/>
      <c r="D331" s="328"/>
      <c r="E331" s="329" t="s">
        <v>353</v>
      </c>
      <c r="F331" s="329"/>
      <c r="G331" s="329"/>
      <c r="H331" s="329"/>
      <c r="I331" s="329"/>
      <c r="J331" s="330"/>
      <c r="K331" s="330"/>
      <c r="L331" s="330"/>
      <c r="M331" s="330"/>
      <c r="N331" s="330"/>
      <c r="O331" s="330"/>
      <c r="P331" s="330"/>
      <c r="Q331" s="244" t="s">
        <v>26</v>
      </c>
      <c r="R331" s="337"/>
      <c r="S331" s="337"/>
      <c r="T331" s="337"/>
      <c r="U331" s="337"/>
      <c r="V331" s="337"/>
      <c r="W331" s="247"/>
      <c r="X331" s="247"/>
    </row>
    <row r="332" customFormat="false" ht="54" hidden="false" customHeight="true" outlineLevel="0" collapsed="false">
      <c r="A332" s="185"/>
      <c r="B332" s="328" t="s">
        <v>354</v>
      </c>
      <c r="C332" s="328"/>
      <c r="D332" s="328"/>
      <c r="E332" s="329" t="s">
        <v>355</v>
      </c>
      <c r="F332" s="329"/>
      <c r="G332" s="329"/>
      <c r="H332" s="329"/>
      <c r="I332" s="329"/>
      <c r="J332" s="330"/>
      <c r="K332" s="330"/>
      <c r="L332" s="330"/>
      <c r="M332" s="330"/>
      <c r="N332" s="330"/>
      <c r="O332" s="330"/>
      <c r="P332" s="330"/>
      <c r="Q332" s="244" t="s">
        <v>26</v>
      </c>
      <c r="R332" s="337"/>
      <c r="S332" s="337"/>
      <c r="T332" s="337"/>
      <c r="U332" s="337"/>
      <c r="V332" s="337"/>
      <c r="W332" s="247"/>
      <c r="X332" s="247"/>
    </row>
    <row r="333" customFormat="false" ht="36" hidden="false" customHeight="true" outlineLevel="0" collapsed="false">
      <c r="A333" s="185"/>
      <c r="B333" s="328" t="s">
        <v>356</v>
      </c>
      <c r="C333" s="328"/>
      <c r="D333" s="328"/>
      <c r="E333" s="329" t="s">
        <v>357</v>
      </c>
      <c r="F333" s="329"/>
      <c r="G333" s="329"/>
      <c r="H333" s="329"/>
      <c r="I333" s="329"/>
      <c r="J333" s="330"/>
      <c r="K333" s="330"/>
      <c r="L333" s="330"/>
      <c r="M333" s="330"/>
      <c r="N333" s="330"/>
      <c r="O333" s="330"/>
      <c r="P333" s="330"/>
      <c r="Q333" s="244" t="s">
        <v>26</v>
      </c>
      <c r="R333" s="337"/>
      <c r="S333" s="337"/>
      <c r="T333" s="337"/>
      <c r="U333" s="337"/>
      <c r="V333" s="337"/>
      <c r="W333" s="247"/>
      <c r="X333" s="247"/>
    </row>
    <row r="334" customFormat="false" ht="54" hidden="false" customHeight="true" outlineLevel="0" collapsed="false">
      <c r="A334" s="185"/>
      <c r="B334" s="328" t="s">
        <v>358</v>
      </c>
      <c r="C334" s="328"/>
      <c r="D334" s="328"/>
      <c r="E334" s="329" t="s">
        <v>372</v>
      </c>
      <c r="F334" s="329"/>
      <c r="G334" s="329"/>
      <c r="H334" s="329"/>
      <c r="I334" s="329"/>
      <c r="J334" s="330"/>
      <c r="K334" s="330"/>
      <c r="L334" s="330"/>
      <c r="M334" s="330"/>
      <c r="N334" s="330"/>
      <c r="O334" s="330"/>
      <c r="P334" s="330"/>
      <c r="Q334" s="244" t="s">
        <v>26</v>
      </c>
      <c r="R334" s="337"/>
      <c r="S334" s="337"/>
      <c r="T334" s="337"/>
      <c r="U334" s="337"/>
      <c r="V334" s="337"/>
      <c r="W334" s="247"/>
      <c r="X334" s="247"/>
    </row>
    <row r="335" customFormat="false" ht="19.5" hidden="false" customHeight="true" outlineLevel="0" collapsed="false">
      <c r="A335" s="185"/>
      <c r="B335" s="283"/>
      <c r="C335" s="283"/>
      <c r="D335" s="283"/>
      <c r="E335" s="283"/>
      <c r="F335" s="283"/>
      <c r="G335" s="283"/>
      <c r="H335" s="283"/>
      <c r="I335" s="283"/>
      <c r="J335" s="333"/>
      <c r="K335" s="333"/>
      <c r="L335" s="333"/>
      <c r="M335" s="333"/>
      <c r="N335" s="333"/>
      <c r="O335" s="333"/>
      <c r="P335" s="333"/>
      <c r="Q335" s="283"/>
      <c r="R335" s="334"/>
      <c r="S335" s="334"/>
      <c r="T335" s="334"/>
      <c r="U335" s="334"/>
      <c r="V335" s="334"/>
      <c r="W335" s="334"/>
      <c r="X335" s="334"/>
    </row>
    <row r="336" customFormat="false" ht="15" hidden="false" customHeight="true" outlineLevel="0" collapsed="false">
      <c r="A336" s="215" t="s">
        <v>373</v>
      </c>
      <c r="B336" s="216"/>
      <c r="C336" s="216"/>
      <c r="D336" s="217"/>
      <c r="E336" s="217"/>
      <c r="F336" s="218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</row>
    <row r="337" customFormat="false" ht="16.5" hidden="false" customHeight="true" outlineLevel="0" collapsed="false">
      <c r="A337" s="259" t="s">
        <v>267</v>
      </c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</row>
    <row r="338" customFormat="false" ht="16.5" hidden="false" customHeight="true" outlineLevel="0" collapsed="false">
      <c r="A338" s="259" t="s">
        <v>268</v>
      </c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1" t="s">
        <v>269</v>
      </c>
      <c r="M338" s="262"/>
      <c r="N338" s="262"/>
      <c r="O338" s="262"/>
      <c r="P338" s="263" t="s">
        <v>270</v>
      </c>
      <c r="Q338" s="260"/>
      <c r="R338" s="260"/>
      <c r="S338" s="260"/>
      <c r="T338" s="260"/>
      <c r="U338" s="260"/>
      <c r="V338" s="260"/>
      <c r="W338" s="260"/>
      <c r="X338" s="260"/>
    </row>
    <row r="339" customFormat="false" ht="16.5" hidden="false" customHeight="true" outlineLevel="0" collapsed="false">
      <c r="A339" s="259" t="s">
        <v>271</v>
      </c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5" t="s">
        <v>23</v>
      </c>
      <c r="M339" s="265"/>
      <c r="N339" s="266"/>
      <c r="O339" s="266"/>
      <c r="P339" s="266"/>
      <c r="Q339" s="267" t="s">
        <v>272</v>
      </c>
      <c r="R339" s="267"/>
      <c r="S339" s="268"/>
      <c r="T339" s="268"/>
      <c r="U339" s="268"/>
      <c r="V339" s="268"/>
      <c r="W339" s="264"/>
      <c r="X339" s="264"/>
    </row>
    <row r="340" customFormat="false" ht="9.75" hidden="false" customHeight="true" outlineLevel="0" collapsed="false">
      <c r="A340" s="225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</row>
    <row r="341" customFormat="false" ht="18.75" hidden="false" customHeight="true" outlineLevel="0" collapsed="false">
      <c r="A341" s="124" t="s">
        <v>82</v>
      </c>
    </row>
    <row r="342" customFormat="false" ht="33.75" hidden="false" customHeight="true" outlineLevel="0" collapsed="false">
      <c r="A342" s="214"/>
      <c r="B342" s="214"/>
      <c r="C342" s="214"/>
      <c r="D342" s="214"/>
      <c r="E342" s="214"/>
      <c r="F342" s="125" t="s">
        <v>374</v>
      </c>
      <c r="G342" s="125"/>
      <c r="H342" s="125"/>
      <c r="I342" s="125"/>
      <c r="J342" s="125"/>
      <c r="K342" s="125"/>
      <c r="L342" s="125"/>
      <c r="M342" s="125"/>
      <c r="N342" s="126" t="s">
        <v>342</v>
      </c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</row>
    <row r="343" customFormat="false" ht="22.5" hidden="false" customHeight="true" outlineLevel="0" collapsed="false">
      <c r="A343" s="127" t="s">
        <v>85</v>
      </c>
      <c r="B343" s="127"/>
      <c r="C343" s="127"/>
      <c r="D343" s="127"/>
      <c r="E343" s="128" t="s">
        <v>2</v>
      </c>
      <c r="F343" s="128"/>
      <c r="G343" s="128"/>
      <c r="H343" s="128"/>
      <c r="I343" s="128"/>
      <c r="J343" s="128"/>
      <c r="K343" s="128"/>
      <c r="L343" s="129" t="s">
        <v>86</v>
      </c>
      <c r="M343" s="129"/>
      <c r="N343" s="129"/>
      <c r="O343" s="129"/>
      <c r="P343" s="129"/>
      <c r="Q343" s="130" t="s">
        <v>87</v>
      </c>
      <c r="R343" s="130"/>
      <c r="S343" s="130"/>
      <c r="T343" s="130"/>
      <c r="U343" s="130"/>
      <c r="V343" s="130"/>
      <c r="W343" s="130"/>
      <c r="X343" s="130"/>
    </row>
    <row r="344" customFormat="false" ht="22.5" hidden="false" customHeight="true" outlineLevel="0" collapsed="false">
      <c r="A344" s="131" t="s">
        <v>88</v>
      </c>
      <c r="B344" s="131"/>
      <c r="C344" s="131"/>
      <c r="D344" s="131"/>
      <c r="E344" s="132" t="s">
        <v>6</v>
      </c>
      <c r="F344" s="132"/>
      <c r="G344" s="132"/>
      <c r="H344" s="132"/>
      <c r="I344" s="132"/>
      <c r="J344" s="132"/>
      <c r="K344" s="132"/>
      <c r="L344" s="132" t="s">
        <v>89</v>
      </c>
      <c r="M344" s="132"/>
      <c r="N344" s="132"/>
      <c r="O344" s="132"/>
      <c r="P344" s="132"/>
      <c r="Q344" s="133" t="s">
        <v>90</v>
      </c>
      <c r="R344" s="133"/>
      <c r="S344" s="133"/>
      <c r="T344" s="134" t="s">
        <v>52</v>
      </c>
      <c r="U344" s="135" t="s">
        <v>91</v>
      </c>
      <c r="V344" s="135"/>
      <c r="W344" s="135"/>
      <c r="X344" s="136" t="s">
        <v>49</v>
      </c>
    </row>
    <row r="345" customFormat="false" ht="14.25" hidden="false" customHeight="true" outlineLevel="0" collapsed="false">
      <c r="A345" s="221"/>
      <c r="B345" s="221"/>
      <c r="C345" s="221"/>
      <c r="D345" s="221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3"/>
      <c r="R345" s="224"/>
      <c r="S345" s="224"/>
      <c r="T345" s="225"/>
      <c r="U345" s="226"/>
      <c r="V345" s="224"/>
      <c r="W345" s="224"/>
      <c r="X345" s="225"/>
    </row>
    <row r="346" customFormat="false" ht="15" hidden="false" customHeight="true" outlineLevel="0" collapsed="false">
      <c r="A346" s="215" t="s">
        <v>375</v>
      </c>
      <c r="B346" s="269"/>
      <c r="C346" s="269"/>
      <c r="D346" s="269"/>
      <c r="E346" s="269"/>
      <c r="F346" s="269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</row>
    <row r="347" customFormat="false" ht="15" hidden="false" customHeight="true" outlineLevel="0" collapsed="false">
      <c r="A347" s="259" t="s">
        <v>275</v>
      </c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</row>
    <row r="348" customFormat="false" ht="15" hidden="false" customHeight="true" outlineLevel="0" collapsed="false">
      <c r="A348" s="259" t="s">
        <v>276</v>
      </c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</row>
    <row r="349" customFormat="false" ht="15" hidden="false" customHeight="true" outlineLevel="0" collapsed="false">
      <c r="A349" s="259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</row>
    <row r="350" customFormat="false" ht="28.5" hidden="false" customHeight="true" outlineLevel="0" collapsed="false">
      <c r="A350" s="259"/>
      <c r="B350" s="270" t="s">
        <v>277</v>
      </c>
      <c r="C350" s="270"/>
      <c r="D350" s="270"/>
      <c r="E350" s="271"/>
      <c r="F350" s="271"/>
      <c r="G350" s="271"/>
      <c r="H350" s="272" t="s">
        <v>278</v>
      </c>
      <c r="I350" s="272"/>
      <c r="J350" s="272"/>
      <c r="K350" s="271"/>
      <c r="L350" s="271"/>
      <c r="M350" s="271"/>
      <c r="N350" s="271"/>
      <c r="O350" s="272" t="s">
        <v>279</v>
      </c>
      <c r="P350" s="272"/>
      <c r="Q350" s="272"/>
      <c r="R350" s="273"/>
      <c r="S350" s="273"/>
      <c r="T350" s="273"/>
      <c r="U350" s="273"/>
      <c r="V350" s="264"/>
      <c r="W350" s="264"/>
      <c r="X350" s="264"/>
    </row>
    <row r="351" customFormat="false" ht="15" hidden="false" customHeight="true" outlineLevel="0" collapsed="false">
      <c r="A351" s="259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</row>
    <row r="352" customFormat="false" ht="15" hidden="false" customHeight="true" outlineLevel="0" collapsed="false">
      <c r="A352" s="274" t="s">
        <v>280</v>
      </c>
      <c r="B352" s="274"/>
      <c r="C352" s="274"/>
      <c r="D352" s="274"/>
      <c r="E352" s="239" t="s">
        <v>281</v>
      </c>
      <c r="F352" s="239"/>
      <c r="G352" s="239"/>
      <c r="H352" s="275" t="s">
        <v>282</v>
      </c>
      <c r="I352" s="275"/>
      <c r="J352" s="275"/>
      <c r="K352" s="275"/>
      <c r="L352" s="275"/>
      <c r="M352" s="275" t="s">
        <v>283</v>
      </c>
      <c r="N352" s="275"/>
      <c r="O352" s="275"/>
      <c r="P352" s="275" t="s">
        <v>284</v>
      </c>
      <c r="Q352" s="275"/>
      <c r="R352" s="275"/>
      <c r="S352" s="276" t="s">
        <v>22</v>
      </c>
      <c r="T352" s="276"/>
      <c r="U352" s="276" t="s">
        <v>23</v>
      </c>
      <c r="V352" s="276"/>
      <c r="W352" s="277" t="s">
        <v>285</v>
      </c>
      <c r="X352" s="277"/>
    </row>
    <row r="353" customFormat="false" ht="51" hidden="false" customHeight="true" outlineLevel="0" collapsed="false">
      <c r="A353" s="278" t="s">
        <v>286</v>
      </c>
      <c r="B353" s="278"/>
      <c r="C353" s="278"/>
      <c r="D353" s="278"/>
      <c r="E353" s="279" t="s">
        <v>287</v>
      </c>
      <c r="F353" s="279"/>
      <c r="G353" s="279"/>
      <c r="H353" s="280" t="s">
        <v>87</v>
      </c>
      <c r="I353" s="280"/>
      <c r="J353" s="280"/>
      <c r="K353" s="280"/>
      <c r="L353" s="280"/>
      <c r="M353" s="244"/>
      <c r="N353" s="244"/>
      <c r="O353" s="244"/>
      <c r="P353" s="244" t="s">
        <v>288</v>
      </c>
      <c r="Q353" s="244"/>
      <c r="R353" s="244"/>
      <c r="S353" s="244"/>
      <c r="T353" s="244"/>
      <c r="U353" s="281"/>
      <c r="V353" s="281"/>
      <c r="W353" s="282"/>
      <c r="X353" s="282"/>
    </row>
    <row r="354" customFormat="false" ht="18" hidden="false" customHeight="true" outlineLevel="0" collapsed="false">
      <c r="A354" s="278" t="s">
        <v>289</v>
      </c>
      <c r="B354" s="278"/>
      <c r="C354" s="278"/>
      <c r="D354" s="278"/>
      <c r="E354" s="279" t="s">
        <v>290</v>
      </c>
      <c r="F354" s="279"/>
      <c r="G354" s="279"/>
      <c r="H354" s="280" t="s">
        <v>291</v>
      </c>
      <c r="I354" s="280"/>
      <c r="J354" s="280"/>
      <c r="K354" s="280"/>
      <c r="L354" s="280"/>
      <c r="M354" s="244"/>
      <c r="N354" s="244"/>
      <c r="O354" s="244"/>
      <c r="P354" s="244" t="s">
        <v>288</v>
      </c>
      <c r="Q354" s="244"/>
      <c r="R354" s="244"/>
      <c r="S354" s="244"/>
      <c r="T354" s="244"/>
      <c r="U354" s="281"/>
      <c r="V354" s="281"/>
      <c r="W354" s="282"/>
      <c r="X354" s="282"/>
    </row>
    <row r="355" customFormat="false" ht="18" hidden="false" customHeight="true" outlineLevel="0" collapsed="false">
      <c r="A355" s="278" t="s">
        <v>292</v>
      </c>
      <c r="B355" s="278"/>
      <c r="C355" s="278"/>
      <c r="D355" s="278"/>
      <c r="E355" s="279" t="s">
        <v>293</v>
      </c>
      <c r="F355" s="279"/>
      <c r="G355" s="279"/>
      <c r="H355" s="280" t="s">
        <v>376</v>
      </c>
      <c r="I355" s="280"/>
      <c r="J355" s="280"/>
      <c r="K355" s="280"/>
      <c r="L355" s="280"/>
      <c r="M355" s="244"/>
      <c r="N355" s="244"/>
      <c r="O355" s="244"/>
      <c r="P355" s="244" t="s">
        <v>288</v>
      </c>
      <c r="Q355" s="244"/>
      <c r="R355" s="244"/>
      <c r="S355" s="244"/>
      <c r="T355" s="244"/>
      <c r="U355" s="281"/>
      <c r="V355" s="281"/>
      <c r="W355" s="282"/>
      <c r="X355" s="282"/>
    </row>
    <row r="356" customFormat="false" ht="18" hidden="false" customHeight="true" outlineLevel="0" collapsed="false">
      <c r="A356" s="278" t="s">
        <v>295</v>
      </c>
      <c r="B356" s="278"/>
      <c r="C356" s="278"/>
      <c r="D356" s="278"/>
      <c r="E356" s="279" t="s">
        <v>296</v>
      </c>
      <c r="F356" s="279"/>
      <c r="G356" s="279"/>
      <c r="H356" s="280" t="s">
        <v>377</v>
      </c>
      <c r="I356" s="280"/>
      <c r="J356" s="280"/>
      <c r="K356" s="280"/>
      <c r="L356" s="280"/>
      <c r="M356" s="244"/>
      <c r="N356" s="244"/>
      <c r="O356" s="244"/>
      <c r="P356" s="244" t="s">
        <v>288</v>
      </c>
      <c r="Q356" s="244"/>
      <c r="R356" s="244"/>
      <c r="S356" s="244"/>
      <c r="T356" s="244"/>
      <c r="U356" s="281"/>
      <c r="V356" s="281"/>
      <c r="W356" s="282"/>
      <c r="X356" s="282"/>
    </row>
    <row r="357" customFormat="false" ht="18" hidden="false" customHeight="true" outlineLevel="0" collapsed="false">
      <c r="A357" s="278" t="s">
        <v>298</v>
      </c>
      <c r="B357" s="278"/>
      <c r="C357" s="278"/>
      <c r="D357" s="278"/>
      <c r="E357" s="279" t="s">
        <v>299</v>
      </c>
      <c r="F357" s="279"/>
      <c r="G357" s="279"/>
      <c r="H357" s="280" t="s">
        <v>378</v>
      </c>
      <c r="I357" s="280"/>
      <c r="J357" s="280"/>
      <c r="K357" s="280"/>
      <c r="L357" s="280"/>
      <c r="M357" s="244"/>
      <c r="N357" s="244"/>
      <c r="O357" s="244"/>
      <c r="P357" s="244" t="s">
        <v>288</v>
      </c>
      <c r="Q357" s="244"/>
      <c r="R357" s="244"/>
      <c r="S357" s="244"/>
      <c r="T357" s="244"/>
      <c r="U357" s="281"/>
      <c r="V357" s="281"/>
      <c r="W357" s="282"/>
      <c r="X357" s="282"/>
    </row>
    <row r="358" customFormat="false" ht="18" hidden="false" customHeight="true" outlineLevel="0" collapsed="false">
      <c r="A358" s="278" t="s">
        <v>301</v>
      </c>
      <c r="B358" s="278"/>
      <c r="C358" s="278"/>
      <c r="D358" s="278"/>
      <c r="E358" s="279" t="s">
        <v>302</v>
      </c>
      <c r="F358" s="279"/>
      <c r="G358" s="279"/>
      <c r="H358" s="280" t="s">
        <v>379</v>
      </c>
      <c r="I358" s="280"/>
      <c r="J358" s="280"/>
      <c r="K358" s="280"/>
      <c r="L358" s="280"/>
      <c r="M358" s="244"/>
      <c r="N358" s="244"/>
      <c r="O358" s="244"/>
      <c r="P358" s="244" t="s">
        <v>288</v>
      </c>
      <c r="Q358" s="244"/>
      <c r="R358" s="244"/>
      <c r="S358" s="244"/>
      <c r="T358" s="244"/>
      <c r="U358" s="281"/>
      <c r="V358" s="281"/>
      <c r="W358" s="282"/>
      <c r="X358" s="282"/>
    </row>
    <row r="359" customFormat="false" ht="15" hidden="false" customHeight="true" outlineLevel="0" collapsed="false">
      <c r="A359" s="283"/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4"/>
      <c r="V359" s="284"/>
      <c r="W359" s="284"/>
      <c r="X359" s="284"/>
    </row>
    <row r="360" customFormat="false" ht="17.25" hidden="false" customHeight="true" outlineLevel="0" collapsed="false">
      <c r="A360" s="285" t="s">
        <v>306</v>
      </c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</row>
    <row r="361" customFormat="false" ht="28.5" hidden="false" customHeight="true" outlineLevel="0" collapsed="false">
      <c r="A361" s="286"/>
      <c r="B361" s="287" t="s">
        <v>307</v>
      </c>
      <c r="C361" s="287"/>
      <c r="D361" s="287"/>
      <c r="E361" s="288"/>
      <c r="F361" s="288"/>
      <c r="G361" s="288"/>
      <c r="H361" s="288"/>
      <c r="I361" s="265" t="s">
        <v>308</v>
      </c>
      <c r="J361" s="265"/>
      <c r="K361" s="265"/>
      <c r="L361" s="288"/>
      <c r="M361" s="288"/>
      <c r="N361" s="288"/>
      <c r="O361" s="288"/>
      <c r="P361" s="288"/>
      <c r="Q361" s="288"/>
      <c r="R361" s="289" t="s">
        <v>309</v>
      </c>
      <c r="S361" s="289"/>
      <c r="T361" s="289"/>
      <c r="U361" s="290"/>
      <c r="V361" s="290"/>
      <c r="W361" s="290"/>
      <c r="X361" s="137"/>
    </row>
    <row r="362" customFormat="false" ht="9.75" hidden="false" customHeight="true" outlineLevel="0" collapsed="false">
      <c r="A362" s="286"/>
      <c r="B362" s="138"/>
      <c r="C362" s="138"/>
      <c r="D362" s="138"/>
      <c r="E362" s="222"/>
      <c r="F362" s="222"/>
      <c r="G362" s="222"/>
      <c r="H362" s="222"/>
      <c r="I362" s="138"/>
      <c r="J362" s="138"/>
      <c r="K362" s="138"/>
      <c r="L362" s="222"/>
      <c r="M362" s="222"/>
      <c r="N362" s="222"/>
      <c r="O362" s="222"/>
      <c r="P362" s="222"/>
      <c r="Q362" s="222"/>
      <c r="R362" s="138"/>
      <c r="S362" s="138"/>
      <c r="T362" s="138"/>
      <c r="U362" s="185"/>
      <c r="V362" s="185"/>
      <c r="W362" s="185"/>
      <c r="X362" s="137"/>
    </row>
    <row r="363" customFormat="false" ht="17.25" hidden="false" customHeight="true" outlineLevel="0" collapsed="false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</row>
    <row r="364" customFormat="false" ht="15" hidden="false" customHeight="true" outlineLevel="0" collapsed="false">
      <c r="A364" s="215" t="s">
        <v>380</v>
      </c>
      <c r="B364" s="269"/>
      <c r="C364" s="269"/>
      <c r="D364" s="269"/>
      <c r="E364" s="269"/>
      <c r="F364" s="269"/>
      <c r="G364" s="269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</row>
    <row r="365" customFormat="false" ht="17.25" hidden="false" customHeight="true" outlineLevel="0" collapsed="false">
      <c r="A365" s="291" t="s">
        <v>311</v>
      </c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3"/>
      <c r="P365" s="293"/>
      <c r="Q365" s="294"/>
      <c r="R365" s="295" t="s">
        <v>312</v>
      </c>
      <c r="S365" s="295"/>
      <c r="T365" s="295"/>
      <c r="U365" s="296" t="s">
        <v>22</v>
      </c>
      <c r="V365" s="296"/>
      <c r="W365" s="297" t="s">
        <v>23</v>
      </c>
      <c r="X365" s="297"/>
    </row>
    <row r="366" customFormat="false" ht="30" hidden="false" customHeight="true" outlineLevel="0" collapsed="false">
      <c r="A366" s="298"/>
      <c r="B366" s="299" t="s">
        <v>313</v>
      </c>
      <c r="C366" s="299"/>
      <c r="D366" s="299"/>
      <c r="E366" s="299"/>
      <c r="F366" s="299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1"/>
      <c r="S366" s="301"/>
      <c r="T366" s="301"/>
      <c r="U366" s="302"/>
      <c r="V366" s="302"/>
      <c r="W366" s="303"/>
      <c r="X366" s="303"/>
    </row>
    <row r="367" customFormat="false" ht="30" hidden="false" customHeight="true" outlineLevel="0" collapsed="false">
      <c r="A367" s="298"/>
      <c r="B367" s="304" t="s">
        <v>314</v>
      </c>
      <c r="C367" s="304"/>
      <c r="D367" s="304"/>
      <c r="E367" s="304"/>
      <c r="F367" s="304"/>
      <c r="G367" s="305"/>
      <c r="H367" s="305"/>
      <c r="I367" s="305"/>
      <c r="J367" s="305"/>
      <c r="K367" s="305"/>
      <c r="L367" s="305"/>
      <c r="M367" s="305"/>
      <c r="N367" s="305"/>
      <c r="O367" s="305"/>
      <c r="P367" s="305"/>
      <c r="Q367" s="305"/>
      <c r="R367" s="301"/>
      <c r="S367" s="301"/>
      <c r="T367" s="301"/>
      <c r="U367" s="302"/>
      <c r="V367" s="302"/>
      <c r="W367" s="303"/>
      <c r="X367" s="303"/>
    </row>
    <row r="368" customFormat="false" ht="30" hidden="false" customHeight="true" outlineLevel="0" collapsed="false">
      <c r="A368" s="298"/>
      <c r="B368" s="306" t="s">
        <v>315</v>
      </c>
      <c r="C368" s="306"/>
      <c r="D368" s="307" t="s">
        <v>316</v>
      </c>
      <c r="E368" s="307"/>
      <c r="F368" s="307"/>
      <c r="G368" s="308"/>
      <c r="H368" s="308"/>
      <c r="I368" s="308"/>
      <c r="J368" s="308"/>
      <c r="K368" s="308"/>
      <c r="L368" s="308"/>
      <c r="M368" s="309" t="s">
        <v>317</v>
      </c>
      <c r="N368" s="309"/>
      <c r="O368" s="309"/>
      <c r="P368" s="309"/>
      <c r="Q368" s="309"/>
      <c r="R368" s="301"/>
      <c r="S368" s="301"/>
      <c r="T368" s="301"/>
      <c r="U368" s="302"/>
      <c r="V368" s="302"/>
      <c r="W368" s="303"/>
      <c r="X368" s="303"/>
    </row>
    <row r="369" customFormat="false" ht="30" hidden="false" customHeight="true" outlineLevel="0" collapsed="false">
      <c r="A369" s="298"/>
      <c r="B369" s="310" t="s">
        <v>318</v>
      </c>
      <c r="C369" s="310"/>
      <c r="D369" s="310"/>
      <c r="E369" s="310"/>
      <c r="F369" s="310"/>
      <c r="G369" s="311"/>
      <c r="H369" s="311"/>
      <c r="I369" s="311"/>
      <c r="J369" s="311"/>
      <c r="K369" s="311"/>
      <c r="L369" s="311"/>
      <c r="M369" s="311"/>
      <c r="N369" s="311"/>
      <c r="O369" s="311"/>
      <c r="P369" s="311"/>
      <c r="Q369" s="311"/>
      <c r="R369" s="301"/>
      <c r="S369" s="301"/>
      <c r="T369" s="301"/>
      <c r="U369" s="302"/>
      <c r="V369" s="302"/>
      <c r="W369" s="303"/>
      <c r="X369" s="303"/>
    </row>
    <row r="370" customFormat="false" ht="17.25" hidden="false" customHeight="true" outlineLevel="0" collapsed="false">
      <c r="A370" s="312"/>
      <c r="B370" s="313"/>
      <c r="C370" s="313"/>
      <c r="D370" s="313"/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4"/>
    </row>
    <row r="371" customFormat="false" ht="17.25" hidden="false" customHeight="true" outlineLevel="0" collapsed="false">
      <c r="A371" s="291" t="s">
        <v>319</v>
      </c>
      <c r="B371" s="294"/>
      <c r="C371" s="294"/>
      <c r="D371" s="294"/>
      <c r="E371" s="294"/>
      <c r="F371" s="294"/>
      <c r="G371" s="294"/>
      <c r="H371" s="294"/>
      <c r="I371" s="294"/>
      <c r="J371" s="294"/>
      <c r="K371" s="294"/>
      <c r="L371" s="294"/>
      <c r="M371" s="294"/>
      <c r="N371" s="294"/>
      <c r="O371" s="294"/>
      <c r="P371" s="294"/>
      <c r="Q371" s="294"/>
      <c r="R371" s="313"/>
      <c r="S371" s="313"/>
      <c r="T371" s="313"/>
      <c r="U371" s="313"/>
      <c r="V371" s="313"/>
      <c r="W371" s="313"/>
      <c r="X371" s="294"/>
    </row>
    <row r="372" customFormat="false" ht="30" hidden="false" customHeight="true" outlineLevel="0" collapsed="false">
      <c r="A372" s="298"/>
      <c r="B372" s="315" t="s">
        <v>320</v>
      </c>
      <c r="C372" s="315"/>
      <c r="D372" s="315"/>
      <c r="E372" s="316"/>
      <c r="F372" s="317"/>
      <c r="G372" s="317"/>
      <c r="H372" s="317"/>
      <c r="I372" s="317"/>
      <c r="J372" s="318" t="s">
        <v>49</v>
      </c>
      <c r="K372" s="319" t="s">
        <v>321</v>
      </c>
      <c r="L372" s="319"/>
      <c r="M372" s="319"/>
      <c r="N372" s="320"/>
      <c r="O372" s="320"/>
      <c r="P372" s="320"/>
      <c r="Q372" s="320"/>
      <c r="R372" s="320"/>
      <c r="S372" s="320"/>
      <c r="T372" s="320"/>
      <c r="U372" s="320"/>
      <c r="V372" s="313"/>
      <c r="W372" s="313"/>
      <c r="X372" s="313"/>
    </row>
    <row r="373" customFormat="false" ht="30" hidden="false" customHeight="true" outlineLevel="0" collapsed="false">
      <c r="A373" s="298"/>
      <c r="B373" s="321" t="s">
        <v>244</v>
      </c>
      <c r="C373" s="321"/>
      <c r="D373" s="321"/>
      <c r="E373" s="302"/>
      <c r="F373" s="302"/>
      <c r="G373" s="302"/>
      <c r="H373" s="302"/>
      <c r="I373" s="302"/>
      <c r="J373" s="302"/>
      <c r="K373" s="322" t="s">
        <v>245</v>
      </c>
      <c r="L373" s="322"/>
      <c r="M373" s="322"/>
      <c r="N373" s="323"/>
      <c r="O373" s="323"/>
      <c r="P373" s="323"/>
      <c r="Q373" s="323"/>
      <c r="R373" s="323"/>
      <c r="S373" s="323"/>
      <c r="T373" s="323"/>
      <c r="U373" s="323"/>
      <c r="V373" s="313"/>
      <c r="W373" s="313"/>
      <c r="X373" s="313"/>
    </row>
    <row r="374" customFormat="false" ht="9.75" hidden="false" customHeight="true" outlineLevel="0" collapsed="false">
      <c r="A374" s="225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</row>
    <row r="375" customFormat="false" ht="18.75" hidden="false" customHeight="true" outlineLevel="0" collapsed="false">
      <c r="A375" s="343" t="s">
        <v>82</v>
      </c>
    </row>
    <row r="376" customFormat="false" ht="33.75" hidden="false" customHeight="true" outlineLevel="0" collapsed="false">
      <c r="A376" s="344"/>
      <c r="B376" s="344"/>
      <c r="C376" s="344"/>
      <c r="D376" s="344"/>
      <c r="E376" s="344"/>
      <c r="F376" s="96" t="s">
        <v>381</v>
      </c>
      <c r="G376" s="96"/>
      <c r="H376" s="96"/>
      <c r="I376" s="96"/>
      <c r="J376" s="96"/>
      <c r="K376" s="96"/>
      <c r="L376" s="96"/>
      <c r="M376" s="96"/>
      <c r="N376" s="345" t="s">
        <v>382</v>
      </c>
      <c r="O376" s="345"/>
      <c r="P376" s="345"/>
      <c r="Q376" s="345"/>
      <c r="R376" s="345"/>
      <c r="S376" s="345"/>
      <c r="T376" s="345"/>
      <c r="U376" s="345"/>
      <c r="V376" s="345"/>
      <c r="W376" s="345"/>
      <c r="X376" s="345"/>
    </row>
    <row r="377" customFormat="false" ht="22.5" hidden="false" customHeight="true" outlineLevel="0" collapsed="false">
      <c r="A377" s="127" t="s">
        <v>85</v>
      </c>
      <c r="B377" s="127"/>
      <c r="C377" s="127"/>
      <c r="D377" s="127"/>
      <c r="E377" s="128" t="s">
        <v>2</v>
      </c>
      <c r="F377" s="128"/>
      <c r="G377" s="128"/>
      <c r="H377" s="128"/>
      <c r="I377" s="128"/>
      <c r="J377" s="128"/>
      <c r="K377" s="128"/>
      <c r="L377" s="129" t="s">
        <v>86</v>
      </c>
      <c r="M377" s="129"/>
      <c r="N377" s="129"/>
      <c r="O377" s="129"/>
      <c r="P377" s="129"/>
      <c r="Q377" s="130" t="s">
        <v>87</v>
      </c>
      <c r="R377" s="130"/>
      <c r="S377" s="130"/>
      <c r="T377" s="130"/>
      <c r="U377" s="130"/>
      <c r="V377" s="130"/>
      <c r="W377" s="130"/>
      <c r="X377" s="130"/>
    </row>
    <row r="378" customFormat="false" ht="22.5" hidden="false" customHeight="true" outlineLevel="0" collapsed="false">
      <c r="A378" s="131" t="s">
        <v>88</v>
      </c>
      <c r="B378" s="131"/>
      <c r="C378" s="131"/>
      <c r="D378" s="131"/>
      <c r="E378" s="132" t="s">
        <v>6</v>
      </c>
      <c r="F378" s="132"/>
      <c r="G378" s="132"/>
      <c r="H378" s="132"/>
      <c r="I378" s="132"/>
      <c r="J378" s="132"/>
      <c r="K378" s="132"/>
      <c r="L378" s="132" t="s">
        <v>89</v>
      </c>
      <c r="M378" s="132"/>
      <c r="N378" s="132"/>
      <c r="O378" s="132"/>
      <c r="P378" s="132"/>
      <c r="Q378" s="133" t="s">
        <v>90</v>
      </c>
      <c r="R378" s="133"/>
      <c r="S378" s="133"/>
      <c r="T378" s="134" t="s">
        <v>52</v>
      </c>
      <c r="U378" s="135" t="s">
        <v>91</v>
      </c>
      <c r="V378" s="135"/>
      <c r="W378" s="135"/>
      <c r="X378" s="136" t="s">
        <v>49</v>
      </c>
    </row>
    <row r="379" customFormat="false" ht="16.5" hidden="false" customHeight="true" outlineLevel="0" collapsed="false">
      <c r="A379" s="346"/>
      <c r="B379" s="346"/>
      <c r="C379" s="346"/>
      <c r="D379" s="346"/>
      <c r="E379" s="346"/>
      <c r="F379" s="346"/>
      <c r="G379" s="346"/>
      <c r="H379" s="346"/>
      <c r="I379" s="346"/>
      <c r="J379" s="346"/>
      <c r="K379" s="346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</row>
    <row r="380" customFormat="false" ht="15" hidden="false" customHeight="true" outlineLevel="0" collapsed="false">
      <c r="A380" s="348" t="s">
        <v>101</v>
      </c>
      <c r="B380" s="349"/>
      <c r="C380" s="349"/>
      <c r="D380" s="349"/>
      <c r="E380" s="350"/>
      <c r="F380" s="351"/>
      <c r="G380" s="346"/>
      <c r="H380" s="346"/>
      <c r="I380" s="346"/>
      <c r="J380" s="346"/>
      <c r="K380" s="346"/>
      <c r="L380" s="346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</row>
    <row r="381" customFormat="false" ht="39.75" hidden="false" customHeight="true" outlineLevel="0" collapsed="false">
      <c r="A381" s="352" t="s">
        <v>102</v>
      </c>
      <c r="B381" s="352"/>
      <c r="C381" s="352"/>
      <c r="D381" s="352"/>
      <c r="E381" s="352"/>
      <c r="F381" s="352"/>
      <c r="G381" s="352"/>
      <c r="H381" s="352"/>
      <c r="I381" s="352"/>
      <c r="J381" s="352"/>
      <c r="K381" s="352"/>
      <c r="L381" s="352"/>
      <c r="M381" s="352"/>
      <c r="N381" s="352"/>
      <c r="O381" s="352"/>
      <c r="P381" s="353" t="s">
        <v>103</v>
      </c>
      <c r="Q381" s="353"/>
      <c r="R381" s="353"/>
      <c r="S381" s="353"/>
      <c r="T381" s="353" t="s">
        <v>104</v>
      </c>
      <c r="U381" s="353"/>
      <c r="V381" s="353"/>
      <c r="W381" s="353"/>
      <c r="X381" s="353"/>
    </row>
    <row r="382" customFormat="false" ht="78.75" hidden="false" customHeight="true" outlineLevel="0" collapsed="false">
      <c r="A382" s="354" t="s">
        <v>250</v>
      </c>
      <c r="B382" s="354"/>
      <c r="C382" s="354"/>
      <c r="D382" s="354"/>
      <c r="E382" s="354"/>
      <c r="F382" s="354"/>
      <c r="G382" s="354"/>
      <c r="H382" s="354"/>
      <c r="I382" s="354"/>
      <c r="J382" s="354"/>
      <c r="K382" s="354"/>
      <c r="L382" s="354"/>
      <c r="M382" s="354"/>
      <c r="N382" s="354"/>
      <c r="O382" s="354"/>
      <c r="P382" s="355" t="s">
        <v>110</v>
      </c>
      <c r="Q382" s="355"/>
      <c r="R382" s="355"/>
      <c r="S382" s="355"/>
      <c r="T382" s="356" t="s">
        <v>78</v>
      </c>
      <c r="U382" s="357"/>
      <c r="V382" s="357"/>
      <c r="W382" s="357"/>
      <c r="X382" s="358"/>
    </row>
    <row r="383" customFormat="false" ht="69.75" hidden="false" customHeight="true" outlineLevel="0" collapsed="false">
      <c r="A383" s="354" t="s">
        <v>383</v>
      </c>
      <c r="B383" s="354"/>
      <c r="C383" s="354"/>
      <c r="D383" s="354"/>
      <c r="E383" s="354"/>
      <c r="F383" s="354"/>
      <c r="G383" s="354"/>
      <c r="H383" s="354"/>
      <c r="I383" s="354"/>
      <c r="J383" s="354"/>
      <c r="K383" s="354"/>
      <c r="L383" s="354"/>
      <c r="M383" s="354"/>
      <c r="N383" s="354"/>
      <c r="O383" s="354"/>
      <c r="P383" s="355" t="s">
        <v>108</v>
      </c>
      <c r="Q383" s="355"/>
      <c r="R383" s="355"/>
      <c r="S383" s="355"/>
      <c r="T383" s="356" t="s">
        <v>78</v>
      </c>
      <c r="U383" s="357"/>
      <c r="V383" s="357"/>
      <c r="W383" s="357"/>
      <c r="X383" s="358"/>
    </row>
    <row r="384" customFormat="false" ht="69.75" hidden="false" customHeight="true" outlineLevel="0" collapsed="false">
      <c r="A384" s="354" t="s">
        <v>252</v>
      </c>
      <c r="B384" s="354"/>
      <c r="C384" s="354"/>
      <c r="D384" s="354"/>
      <c r="E384" s="354"/>
      <c r="F384" s="354"/>
      <c r="G384" s="354"/>
      <c r="H384" s="354"/>
      <c r="I384" s="354"/>
      <c r="J384" s="354"/>
      <c r="K384" s="354"/>
      <c r="L384" s="354"/>
      <c r="M384" s="354"/>
      <c r="N384" s="354"/>
      <c r="O384" s="354"/>
      <c r="P384" s="355" t="s">
        <v>108</v>
      </c>
      <c r="Q384" s="355"/>
      <c r="R384" s="355"/>
      <c r="S384" s="355"/>
      <c r="T384" s="356" t="s">
        <v>78</v>
      </c>
      <c r="U384" s="357"/>
      <c r="V384" s="357"/>
      <c r="W384" s="357"/>
      <c r="X384" s="358"/>
    </row>
    <row r="385" customFormat="false" ht="21.75" hidden="false" customHeight="true" outlineLevel="0" collapsed="false">
      <c r="A385" s="347"/>
      <c r="B385" s="347"/>
      <c r="C385" s="347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52" t="s">
        <v>111</v>
      </c>
      <c r="Q385" s="352"/>
      <c r="R385" s="352"/>
      <c r="S385" s="352"/>
      <c r="T385" s="356" t="s">
        <v>78</v>
      </c>
      <c r="U385" s="357"/>
      <c r="V385" s="357"/>
      <c r="W385" s="357"/>
      <c r="X385" s="358"/>
    </row>
    <row r="386" customFormat="false" ht="21.75" hidden="false" customHeight="true" outlineLevel="0" collapsed="false">
      <c r="A386" s="347"/>
      <c r="B386" s="347"/>
      <c r="C386" s="347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59"/>
      <c r="U386" s="359"/>
      <c r="V386" s="359"/>
      <c r="W386" s="359"/>
      <c r="X386" s="359"/>
    </row>
    <row r="387" customFormat="false" ht="21.75" hidden="false" customHeight="true" outlineLevel="0" collapsed="false">
      <c r="A387" s="347"/>
      <c r="B387" s="347"/>
      <c r="C387" s="347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59"/>
      <c r="U387" s="359"/>
      <c r="V387" s="359"/>
      <c r="W387" s="359"/>
      <c r="X387" s="359"/>
    </row>
    <row r="388" customFormat="false" ht="21.75" hidden="false" customHeight="true" outlineLevel="0" collapsed="false">
      <c r="A388" s="347"/>
      <c r="B388" s="347"/>
      <c r="C388" s="347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59"/>
      <c r="U388" s="359"/>
      <c r="V388" s="359"/>
      <c r="W388" s="359"/>
      <c r="X388" s="359"/>
    </row>
    <row r="389" customFormat="false" ht="21.75" hidden="false" customHeight="true" outlineLevel="0" collapsed="false">
      <c r="A389" s="347"/>
      <c r="B389" s="347"/>
      <c r="C389" s="347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59"/>
      <c r="U389" s="359"/>
      <c r="V389" s="359"/>
      <c r="W389" s="359"/>
      <c r="X389" s="359"/>
    </row>
    <row r="390" customFormat="false" ht="21.75" hidden="false" customHeight="true" outlineLevel="0" collapsed="false">
      <c r="A390" s="347"/>
      <c r="B390" s="347"/>
      <c r="C390" s="347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59"/>
      <c r="U390" s="359"/>
      <c r="V390" s="359"/>
      <c r="W390" s="359"/>
      <c r="X390" s="359"/>
    </row>
    <row r="391" customFormat="false" ht="21.75" hidden="false" customHeight="true" outlineLevel="0" collapsed="false">
      <c r="A391" s="347"/>
      <c r="B391" s="347"/>
      <c r="C391" s="347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59"/>
      <c r="U391" s="359"/>
      <c r="V391" s="359"/>
      <c r="W391" s="359"/>
      <c r="X391" s="359"/>
    </row>
    <row r="392" customFormat="false" ht="21.75" hidden="false" customHeight="true" outlineLevel="0" collapsed="false">
      <c r="A392" s="347"/>
      <c r="B392" s="347"/>
      <c r="C392" s="347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59"/>
      <c r="U392" s="359"/>
      <c r="V392" s="359"/>
      <c r="W392" s="359"/>
      <c r="X392" s="359"/>
    </row>
    <row r="393" customFormat="false" ht="21.75" hidden="false" customHeight="true" outlineLevel="0" collapsed="false">
      <c r="A393" s="347"/>
      <c r="B393" s="347"/>
      <c r="C393" s="347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59"/>
      <c r="U393" s="359"/>
      <c r="V393" s="359"/>
      <c r="W393" s="359"/>
      <c r="X393" s="359"/>
    </row>
    <row r="394" customFormat="false" ht="21.75" hidden="false" customHeight="true" outlineLevel="0" collapsed="false">
      <c r="A394" s="347"/>
      <c r="B394" s="347"/>
      <c r="C394" s="347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59"/>
      <c r="U394" s="359"/>
      <c r="V394" s="359"/>
      <c r="W394" s="359"/>
      <c r="X394" s="359"/>
    </row>
    <row r="395" customFormat="false" ht="21.75" hidden="false" customHeight="true" outlineLevel="0" collapsed="false">
      <c r="A395" s="347"/>
      <c r="B395" s="347"/>
      <c r="C395" s="347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59"/>
      <c r="U395" s="359"/>
      <c r="V395" s="359"/>
      <c r="W395" s="359"/>
      <c r="X395" s="359"/>
    </row>
    <row r="396" customFormat="false" ht="18.75" hidden="false" customHeight="true" outlineLevel="0" collapsed="false">
      <c r="A396" s="343" t="s">
        <v>82</v>
      </c>
    </row>
    <row r="397" customFormat="false" ht="33.75" hidden="false" customHeight="true" outlineLevel="0" collapsed="false">
      <c r="A397" s="344"/>
      <c r="B397" s="344"/>
      <c r="C397" s="344"/>
      <c r="D397" s="344"/>
      <c r="E397" s="344"/>
      <c r="F397" s="96" t="s">
        <v>384</v>
      </c>
      <c r="G397" s="96"/>
      <c r="H397" s="96"/>
      <c r="I397" s="96"/>
      <c r="J397" s="96"/>
      <c r="K397" s="96"/>
      <c r="L397" s="96"/>
      <c r="M397" s="96"/>
      <c r="N397" s="345" t="s">
        <v>382</v>
      </c>
      <c r="O397" s="345"/>
      <c r="P397" s="345"/>
      <c r="Q397" s="345"/>
      <c r="R397" s="345"/>
      <c r="S397" s="345"/>
      <c r="T397" s="345"/>
      <c r="U397" s="345"/>
      <c r="V397" s="345"/>
      <c r="W397" s="345"/>
      <c r="X397" s="345"/>
    </row>
    <row r="398" customFormat="false" ht="22.5" hidden="false" customHeight="true" outlineLevel="0" collapsed="false">
      <c r="A398" s="127" t="s">
        <v>85</v>
      </c>
      <c r="B398" s="127"/>
      <c r="C398" s="127"/>
      <c r="D398" s="127"/>
      <c r="E398" s="128" t="s">
        <v>2</v>
      </c>
      <c r="F398" s="128"/>
      <c r="G398" s="128"/>
      <c r="H398" s="128"/>
      <c r="I398" s="128"/>
      <c r="J398" s="128"/>
      <c r="K398" s="128"/>
      <c r="L398" s="129" t="s">
        <v>86</v>
      </c>
      <c r="M398" s="129"/>
      <c r="N398" s="129"/>
      <c r="O398" s="129"/>
      <c r="P398" s="129"/>
      <c r="Q398" s="130" t="s">
        <v>87</v>
      </c>
      <c r="R398" s="130"/>
      <c r="S398" s="130"/>
      <c r="T398" s="130"/>
      <c r="U398" s="130"/>
      <c r="V398" s="130"/>
      <c r="W398" s="130"/>
      <c r="X398" s="130"/>
    </row>
    <row r="399" customFormat="false" ht="22.5" hidden="false" customHeight="true" outlineLevel="0" collapsed="false">
      <c r="A399" s="131" t="s">
        <v>88</v>
      </c>
      <c r="B399" s="131"/>
      <c r="C399" s="131"/>
      <c r="D399" s="131"/>
      <c r="E399" s="132" t="s">
        <v>6</v>
      </c>
      <c r="F399" s="132"/>
      <c r="G399" s="132"/>
      <c r="H399" s="132"/>
      <c r="I399" s="132"/>
      <c r="J399" s="132"/>
      <c r="K399" s="132"/>
      <c r="L399" s="132" t="s">
        <v>89</v>
      </c>
      <c r="M399" s="132"/>
      <c r="N399" s="132"/>
      <c r="O399" s="132"/>
      <c r="P399" s="132"/>
      <c r="Q399" s="133" t="s">
        <v>90</v>
      </c>
      <c r="R399" s="133"/>
      <c r="S399" s="133"/>
      <c r="T399" s="134" t="s">
        <v>52</v>
      </c>
      <c r="U399" s="135" t="s">
        <v>91</v>
      </c>
      <c r="V399" s="135"/>
      <c r="W399" s="135"/>
      <c r="X399" s="136" t="s">
        <v>49</v>
      </c>
    </row>
    <row r="400" customFormat="false" ht="6" hidden="false" customHeight="true" outlineLevel="0" collapsed="false">
      <c r="A400" s="360"/>
      <c r="B400" s="360"/>
      <c r="C400" s="360"/>
      <c r="D400" s="360"/>
      <c r="E400" s="360"/>
      <c r="F400" s="360"/>
      <c r="G400" s="360"/>
      <c r="H400" s="360"/>
      <c r="I400" s="360"/>
      <c r="J400" s="360"/>
      <c r="K400" s="360"/>
      <c r="L400" s="360"/>
      <c r="M400" s="360"/>
      <c r="N400" s="360"/>
      <c r="O400" s="360"/>
      <c r="P400" s="360"/>
      <c r="Q400" s="361"/>
      <c r="R400" s="361"/>
      <c r="S400" s="361"/>
      <c r="T400" s="362"/>
      <c r="U400" s="363"/>
      <c r="V400" s="363"/>
      <c r="W400" s="363"/>
      <c r="X400" s="362"/>
    </row>
    <row r="401" customFormat="false" ht="15" hidden="false" customHeight="true" outlineLevel="0" collapsed="false">
      <c r="A401" s="364" t="s">
        <v>113</v>
      </c>
      <c r="B401" s="365"/>
      <c r="C401" s="365"/>
      <c r="D401" s="365"/>
      <c r="E401" s="366"/>
      <c r="F401" s="367"/>
      <c r="G401" s="367"/>
      <c r="H401" s="367"/>
      <c r="I401" s="367"/>
      <c r="J401" s="367"/>
      <c r="K401" s="367"/>
      <c r="L401" s="367"/>
      <c r="M401" s="367"/>
      <c r="N401" s="367"/>
      <c r="O401" s="367"/>
      <c r="P401" s="367"/>
      <c r="Q401" s="368"/>
      <c r="R401" s="367"/>
      <c r="S401" s="367"/>
      <c r="T401" s="367"/>
      <c r="U401" s="369" t="s">
        <v>114</v>
      </c>
      <c r="V401" s="369"/>
      <c r="W401" s="369"/>
      <c r="X401" s="369"/>
    </row>
    <row r="402" customFormat="false" ht="15" hidden="false" customHeight="true" outlineLevel="0" collapsed="false">
      <c r="A402" s="370" t="s">
        <v>385</v>
      </c>
      <c r="B402" s="371"/>
      <c r="C402" s="314"/>
      <c r="D402" s="314"/>
      <c r="E402" s="314"/>
      <c r="F402" s="314"/>
      <c r="G402" s="314"/>
      <c r="H402" s="314"/>
      <c r="I402" s="314"/>
      <c r="J402" s="314"/>
      <c r="K402" s="314"/>
      <c r="L402" s="372"/>
      <c r="M402" s="373"/>
      <c r="N402" s="372"/>
      <c r="O402" s="372"/>
      <c r="P402" s="314"/>
      <c r="Q402" s="372"/>
      <c r="R402" s="374" t="s">
        <v>116</v>
      </c>
      <c r="S402" s="373"/>
      <c r="T402" s="314"/>
      <c r="U402" s="375"/>
      <c r="V402" s="375"/>
      <c r="W402" s="375"/>
      <c r="X402" s="375"/>
    </row>
    <row r="403" customFormat="false" ht="15" hidden="false" customHeight="true" outlineLevel="0" collapsed="false">
      <c r="A403" s="370" t="s">
        <v>386</v>
      </c>
      <c r="B403" s="371"/>
      <c r="C403" s="314"/>
      <c r="D403" s="314"/>
      <c r="E403" s="314"/>
      <c r="F403" s="314"/>
      <c r="G403" s="314"/>
      <c r="H403" s="314"/>
      <c r="I403" s="314"/>
      <c r="J403" s="314"/>
      <c r="K403" s="314"/>
      <c r="L403" s="372"/>
      <c r="M403" s="373"/>
      <c r="N403" s="372"/>
      <c r="O403" s="372"/>
      <c r="P403" s="314"/>
      <c r="Q403" s="372"/>
      <c r="R403" s="374" t="s">
        <v>116</v>
      </c>
      <c r="S403" s="373"/>
      <c r="T403" s="314"/>
      <c r="U403" s="375"/>
      <c r="V403" s="375"/>
      <c r="W403" s="375"/>
      <c r="X403" s="375"/>
    </row>
    <row r="404" customFormat="false" ht="15" hidden="false" customHeight="true" outlineLevel="0" collapsed="false">
      <c r="A404" s="370" t="s">
        <v>387</v>
      </c>
      <c r="B404" s="376"/>
      <c r="C404" s="377"/>
      <c r="D404" s="377"/>
      <c r="E404" s="377"/>
      <c r="F404" s="314"/>
      <c r="G404" s="314"/>
      <c r="H404" s="314"/>
      <c r="I404" s="314"/>
      <c r="J404" s="314"/>
      <c r="K404" s="314"/>
      <c r="L404" s="372"/>
      <c r="M404" s="373"/>
      <c r="N404" s="372"/>
      <c r="O404" s="372"/>
      <c r="P404" s="314"/>
      <c r="Q404" s="372"/>
      <c r="R404" s="374" t="s">
        <v>116</v>
      </c>
      <c r="S404" s="373"/>
      <c r="T404" s="314"/>
      <c r="U404" s="375"/>
      <c r="V404" s="375"/>
      <c r="W404" s="375"/>
      <c r="X404" s="375"/>
    </row>
    <row r="405" customFormat="false" ht="15" hidden="false" customHeight="true" outlineLevel="0" collapsed="false">
      <c r="A405" s="370" t="s">
        <v>257</v>
      </c>
      <c r="B405" s="371"/>
      <c r="C405" s="377"/>
      <c r="D405" s="377"/>
      <c r="E405" s="377"/>
      <c r="F405" s="314"/>
      <c r="G405" s="314"/>
      <c r="H405" s="314"/>
      <c r="I405" s="376"/>
      <c r="J405" s="314"/>
      <c r="K405" s="314"/>
      <c r="L405" s="372"/>
      <c r="M405" s="373"/>
      <c r="N405" s="372"/>
      <c r="O405" s="372"/>
      <c r="P405" s="314"/>
      <c r="Q405" s="372"/>
      <c r="R405" s="374" t="s">
        <v>116</v>
      </c>
      <c r="S405" s="373"/>
      <c r="T405" s="314"/>
      <c r="U405" s="375"/>
      <c r="V405" s="375"/>
      <c r="W405" s="375"/>
      <c r="X405" s="375"/>
    </row>
    <row r="406" customFormat="false" ht="13.5" hidden="false" customHeight="true" outlineLevel="0" collapsed="false">
      <c r="A406" s="378" t="s">
        <v>388</v>
      </c>
      <c r="B406" s="379"/>
      <c r="C406" s="379"/>
      <c r="D406" s="379"/>
      <c r="E406" s="379"/>
      <c r="F406" s="379"/>
      <c r="G406" s="379"/>
      <c r="H406" s="379"/>
      <c r="I406" s="379"/>
      <c r="J406" s="379"/>
      <c r="K406" s="379"/>
      <c r="L406" s="379"/>
      <c r="M406" s="379"/>
      <c r="N406" s="380" t="s">
        <v>389</v>
      </c>
      <c r="O406" s="380"/>
      <c r="P406" s="380"/>
      <c r="Q406" s="381"/>
      <c r="R406" s="381"/>
      <c r="S406" s="381"/>
      <c r="T406" s="382"/>
      <c r="U406" s="375"/>
      <c r="V406" s="375"/>
      <c r="W406" s="375"/>
      <c r="X406" s="375"/>
    </row>
    <row r="407" customFormat="false" ht="3.75" hidden="false" customHeight="true" outlineLevel="0" collapsed="false">
      <c r="A407" s="346"/>
      <c r="B407" s="346"/>
      <c r="C407" s="346"/>
      <c r="D407" s="346"/>
      <c r="E407" s="346"/>
      <c r="F407" s="347"/>
      <c r="G407" s="347"/>
      <c r="H407" s="346"/>
      <c r="I407" s="346"/>
      <c r="J407" s="346"/>
      <c r="K407" s="346"/>
      <c r="L407" s="346"/>
      <c r="M407" s="346"/>
      <c r="N407" s="346"/>
      <c r="O407" s="346"/>
      <c r="P407" s="346"/>
      <c r="Q407" s="346"/>
      <c r="R407" s="346"/>
      <c r="S407" s="346"/>
      <c r="T407" s="346"/>
      <c r="U407" s="346"/>
      <c r="V407" s="346"/>
      <c r="W407" s="346"/>
      <c r="X407" s="346"/>
    </row>
    <row r="408" customFormat="false" ht="15" hidden="false" customHeight="true" outlineLevel="0" collapsed="false">
      <c r="A408" s="383" t="s">
        <v>390</v>
      </c>
      <c r="B408" s="384"/>
      <c r="C408" s="384"/>
      <c r="D408" s="384"/>
      <c r="E408" s="384"/>
      <c r="F408" s="384"/>
      <c r="G408" s="384"/>
    </row>
    <row r="409" customFormat="false" ht="18.75" hidden="false" customHeight="true" outlineLevel="0" collapsed="false">
      <c r="A409" s="385" t="s">
        <v>391</v>
      </c>
      <c r="B409" s="377"/>
      <c r="C409" s="377"/>
      <c r="D409" s="377"/>
      <c r="E409" s="377"/>
      <c r="F409" s="314"/>
      <c r="G409" s="314"/>
      <c r="H409" s="314"/>
      <c r="I409" s="314"/>
      <c r="J409" s="314"/>
      <c r="K409" s="314"/>
      <c r="L409" s="373"/>
      <c r="M409" s="373"/>
      <c r="N409" s="372"/>
      <c r="O409" s="372"/>
      <c r="P409" s="386"/>
      <c r="Q409" s="373"/>
      <c r="R409" s="386"/>
      <c r="S409" s="386"/>
      <c r="T409" s="386"/>
      <c r="U409" s="386"/>
      <c r="V409" s="387"/>
      <c r="W409" s="387"/>
      <c r="X409" s="387"/>
    </row>
    <row r="410" customFormat="false" ht="18.75" hidden="false" customHeight="true" outlineLevel="0" collapsed="false">
      <c r="A410" s="385" t="s">
        <v>392</v>
      </c>
      <c r="B410" s="377"/>
      <c r="C410" s="377"/>
      <c r="D410" s="377"/>
      <c r="E410" s="377"/>
      <c r="F410" s="314"/>
      <c r="G410" s="314"/>
      <c r="H410" s="314"/>
      <c r="I410" s="314"/>
      <c r="J410" s="314"/>
      <c r="K410" s="314"/>
      <c r="L410" s="373"/>
      <c r="M410" s="373"/>
      <c r="N410" s="372"/>
      <c r="O410" s="372"/>
      <c r="P410" s="386"/>
      <c r="Q410" s="373"/>
      <c r="R410" s="386"/>
      <c r="S410" s="386"/>
      <c r="T410" s="386"/>
      <c r="U410" s="386"/>
      <c r="V410" s="387"/>
      <c r="W410" s="387"/>
      <c r="X410" s="387"/>
    </row>
    <row r="411" customFormat="false" ht="18.75" hidden="false" customHeight="true" outlineLevel="0" collapsed="false">
      <c r="A411" s="385" t="s">
        <v>393</v>
      </c>
      <c r="B411" s="377"/>
      <c r="C411" s="377"/>
      <c r="D411" s="377"/>
      <c r="E411" s="377"/>
      <c r="F411" s="314"/>
      <c r="G411" s="314"/>
      <c r="H411" s="314"/>
      <c r="I411" s="314"/>
      <c r="J411" s="314"/>
      <c r="K411" s="314"/>
      <c r="L411" s="373"/>
      <c r="M411" s="373"/>
      <c r="N411" s="372"/>
      <c r="O411" s="372"/>
      <c r="P411" s="386"/>
      <c r="Q411" s="373"/>
      <c r="R411" s="386"/>
      <c r="S411" s="386"/>
      <c r="T411" s="386"/>
      <c r="U411" s="386"/>
      <c r="V411" s="387"/>
      <c r="W411" s="387"/>
      <c r="X411" s="387"/>
    </row>
    <row r="412" customFormat="false" ht="18.75" hidden="false" customHeight="true" outlineLevel="0" collapsed="false">
      <c r="A412" s="385" t="s">
        <v>394</v>
      </c>
      <c r="B412" s="377"/>
      <c r="C412" s="377"/>
      <c r="D412" s="377"/>
      <c r="E412" s="377"/>
      <c r="F412" s="314"/>
      <c r="G412" s="314"/>
      <c r="H412" s="314"/>
      <c r="I412" s="314"/>
      <c r="J412" s="314"/>
      <c r="K412" s="314"/>
      <c r="L412" s="373"/>
      <c r="M412" s="373"/>
      <c r="N412" s="372"/>
      <c r="O412" s="372"/>
      <c r="P412" s="386"/>
      <c r="Q412" s="373"/>
      <c r="R412" s="386"/>
      <c r="S412" s="386"/>
      <c r="T412" s="386"/>
      <c r="U412" s="386"/>
      <c r="V412" s="387"/>
      <c r="W412" s="387"/>
      <c r="X412" s="387"/>
    </row>
    <row r="413" customFormat="false" ht="15.75" hidden="false" customHeight="true" outlineLevel="0" collapsed="false">
      <c r="A413" s="385"/>
      <c r="B413" s="388" t="s">
        <v>395</v>
      </c>
      <c r="C413" s="388"/>
      <c r="D413" s="388"/>
      <c r="E413" s="388"/>
      <c r="F413" s="388" t="s">
        <v>396</v>
      </c>
      <c r="G413" s="388"/>
      <c r="H413" s="388"/>
      <c r="I413" s="388"/>
      <c r="J413" s="388" t="s">
        <v>397</v>
      </c>
      <c r="K413" s="388"/>
      <c r="L413" s="388"/>
      <c r="M413" s="388"/>
      <c r="N413" s="388" t="s">
        <v>398</v>
      </c>
      <c r="O413" s="388"/>
      <c r="P413" s="388"/>
      <c r="Q413" s="388"/>
      <c r="R413" s="389" t="s">
        <v>23</v>
      </c>
      <c r="S413" s="389"/>
      <c r="T413" s="389"/>
      <c r="U413" s="389"/>
      <c r="V413" s="387"/>
      <c r="W413" s="387"/>
      <c r="X413" s="387"/>
    </row>
    <row r="414" customFormat="false" ht="30" hidden="false" customHeight="true" outlineLevel="0" collapsed="false">
      <c r="A414" s="385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90"/>
      <c r="S414" s="390"/>
      <c r="T414" s="390"/>
      <c r="U414" s="390"/>
      <c r="V414" s="387"/>
      <c r="W414" s="387"/>
      <c r="X414" s="387"/>
    </row>
    <row r="415" customFormat="false" ht="6.75" hidden="false" customHeight="true" outlineLevel="0" collapsed="false">
      <c r="A415" s="391"/>
      <c r="B415" s="347"/>
      <c r="C415" s="347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92"/>
      <c r="S415" s="392"/>
      <c r="T415" s="392"/>
      <c r="U415" s="392"/>
      <c r="V415" s="392"/>
      <c r="W415" s="392"/>
      <c r="X415" s="392"/>
    </row>
    <row r="416" customFormat="false" ht="15" hidden="false" customHeight="true" outlineLevel="0" collapsed="false">
      <c r="A416" s="393" t="s">
        <v>399</v>
      </c>
      <c r="B416" s="394"/>
      <c r="C416" s="394"/>
      <c r="D416" s="394"/>
      <c r="E416" s="395"/>
      <c r="F416" s="395"/>
      <c r="G416" s="395"/>
      <c r="H416" s="395"/>
      <c r="I416" s="395"/>
      <c r="J416" s="395"/>
      <c r="K416" s="395"/>
      <c r="L416" s="395"/>
      <c r="M416" s="395"/>
      <c r="N416" s="395"/>
      <c r="O416" s="395"/>
      <c r="P416" s="395"/>
      <c r="Q416" s="395"/>
      <c r="R416" s="395"/>
      <c r="S416" s="395"/>
      <c r="T416" s="395"/>
      <c r="U416" s="395"/>
      <c r="V416" s="395"/>
      <c r="W416" s="395"/>
      <c r="X416" s="395"/>
    </row>
    <row r="417" customFormat="false" ht="25.5" hidden="false" customHeight="true" outlineLevel="0" collapsed="false">
      <c r="A417" s="396" t="s">
        <v>280</v>
      </c>
      <c r="B417" s="396"/>
      <c r="C417" s="396"/>
      <c r="D417" s="397" t="s">
        <v>400</v>
      </c>
      <c r="E417" s="397"/>
      <c r="F417" s="397"/>
      <c r="G417" s="397"/>
      <c r="H417" s="397"/>
      <c r="I417" s="397"/>
      <c r="J417" s="397"/>
      <c r="K417" s="397"/>
      <c r="L417" s="397"/>
      <c r="M417" s="397"/>
      <c r="N417" s="397"/>
      <c r="O417" s="397"/>
      <c r="P417" s="397"/>
      <c r="Q417" s="398" t="s">
        <v>21</v>
      </c>
      <c r="R417" s="399" t="s">
        <v>263</v>
      </c>
      <c r="S417" s="399"/>
      <c r="T417" s="399"/>
      <c r="U417" s="400" t="s">
        <v>22</v>
      </c>
      <c r="V417" s="400"/>
      <c r="W417" s="401" t="s">
        <v>23</v>
      </c>
      <c r="X417" s="401"/>
    </row>
    <row r="418" customFormat="false" ht="38.25" hidden="false" customHeight="true" outlineLevel="0" collapsed="false">
      <c r="A418" s="402" t="s">
        <v>401</v>
      </c>
      <c r="B418" s="402"/>
      <c r="C418" s="402"/>
      <c r="D418" s="403" t="s">
        <v>402</v>
      </c>
      <c r="E418" s="403"/>
      <c r="F418" s="403"/>
      <c r="G418" s="403"/>
      <c r="H418" s="403"/>
      <c r="I418" s="403"/>
      <c r="J418" s="403"/>
      <c r="K418" s="403"/>
      <c r="L418" s="403"/>
      <c r="M418" s="403"/>
      <c r="N418" s="403"/>
      <c r="O418" s="403"/>
      <c r="P418" s="403"/>
      <c r="Q418" s="404" t="s">
        <v>26</v>
      </c>
      <c r="R418" s="405"/>
      <c r="S418" s="405"/>
      <c r="T418" s="405"/>
      <c r="U418" s="405"/>
      <c r="V418" s="405"/>
      <c r="W418" s="406"/>
      <c r="X418" s="406"/>
    </row>
    <row r="419" customFormat="false" ht="6" hidden="false" customHeight="true" outlineLevel="0" collapsed="false">
      <c r="A419" s="392"/>
      <c r="B419" s="392"/>
      <c r="C419" s="392"/>
      <c r="D419" s="407"/>
      <c r="E419" s="407"/>
      <c r="F419" s="407"/>
      <c r="G419" s="407"/>
      <c r="H419" s="407"/>
      <c r="I419" s="407"/>
      <c r="J419" s="407"/>
      <c r="K419" s="407"/>
      <c r="L419" s="407"/>
      <c r="M419" s="407"/>
      <c r="N419" s="407"/>
      <c r="O419" s="407"/>
      <c r="P419" s="407"/>
      <c r="Q419" s="408"/>
      <c r="R419" s="405"/>
      <c r="S419" s="405"/>
      <c r="T419" s="405"/>
      <c r="U419" s="405"/>
      <c r="V419" s="405"/>
      <c r="W419" s="406"/>
      <c r="X419" s="406"/>
    </row>
    <row r="420" customFormat="false" ht="15" hidden="false" customHeight="true" outlineLevel="0" collapsed="false">
      <c r="A420" s="396" t="s">
        <v>280</v>
      </c>
      <c r="B420" s="396"/>
      <c r="C420" s="396"/>
      <c r="D420" s="397" t="s">
        <v>282</v>
      </c>
      <c r="E420" s="397"/>
      <c r="F420" s="397"/>
      <c r="G420" s="397"/>
      <c r="H420" s="397"/>
      <c r="I420" s="397"/>
      <c r="J420" s="397"/>
      <c r="K420" s="396" t="s">
        <v>330</v>
      </c>
      <c r="L420" s="396"/>
      <c r="M420" s="396"/>
      <c r="N420" s="396"/>
      <c r="O420" s="396"/>
      <c r="P420" s="396"/>
      <c r="Q420" s="397" t="s">
        <v>21</v>
      </c>
      <c r="R420" s="405"/>
      <c r="S420" s="405"/>
      <c r="T420" s="405"/>
      <c r="U420" s="405"/>
      <c r="V420" s="405"/>
      <c r="W420" s="406"/>
      <c r="X420" s="406"/>
    </row>
    <row r="421" customFormat="false" ht="24" hidden="false" customHeight="true" outlineLevel="0" collapsed="false">
      <c r="A421" s="409" t="s">
        <v>403</v>
      </c>
      <c r="B421" s="409"/>
      <c r="C421" s="409"/>
      <c r="D421" s="410" t="s">
        <v>404</v>
      </c>
      <c r="E421" s="410"/>
      <c r="F421" s="410"/>
      <c r="G421" s="410"/>
      <c r="H421" s="410"/>
      <c r="I421" s="410"/>
      <c r="J421" s="410"/>
      <c r="K421" s="411"/>
      <c r="L421" s="411"/>
      <c r="M421" s="411"/>
      <c r="N421" s="411"/>
      <c r="O421" s="411"/>
      <c r="P421" s="411"/>
      <c r="Q421" s="404" t="s">
        <v>26</v>
      </c>
      <c r="R421" s="405"/>
      <c r="S421" s="405"/>
      <c r="T421" s="405"/>
      <c r="U421" s="405"/>
      <c r="V421" s="405"/>
      <c r="W421" s="406"/>
      <c r="X421" s="406"/>
    </row>
    <row r="422" customFormat="false" ht="19.5" hidden="false" customHeight="true" outlineLevel="0" collapsed="false">
      <c r="A422" s="409" t="s">
        <v>405</v>
      </c>
      <c r="B422" s="409"/>
      <c r="C422" s="409"/>
      <c r="D422" s="412" t="s">
        <v>406</v>
      </c>
      <c r="E422" s="412"/>
      <c r="F422" s="412"/>
      <c r="G422" s="412"/>
      <c r="H422" s="412"/>
      <c r="I422" s="412"/>
      <c r="J422" s="412"/>
      <c r="K422" s="411"/>
      <c r="L422" s="411"/>
      <c r="M422" s="411"/>
      <c r="N422" s="411"/>
      <c r="O422" s="411"/>
      <c r="P422" s="411"/>
      <c r="Q422" s="404" t="s">
        <v>26</v>
      </c>
      <c r="R422" s="405"/>
      <c r="S422" s="405"/>
      <c r="T422" s="405"/>
      <c r="U422" s="405"/>
      <c r="V422" s="405"/>
      <c r="W422" s="406"/>
      <c r="X422" s="406"/>
    </row>
    <row r="423" customFormat="false" ht="32.25" hidden="false" customHeight="true" outlineLevel="0" collapsed="false">
      <c r="A423" s="409" t="s">
        <v>407</v>
      </c>
      <c r="B423" s="409"/>
      <c r="C423" s="409"/>
      <c r="D423" s="413" t="s">
        <v>408</v>
      </c>
      <c r="E423" s="413"/>
      <c r="F423" s="413"/>
      <c r="G423" s="413"/>
      <c r="H423" s="413"/>
      <c r="I423" s="413"/>
      <c r="J423" s="413"/>
      <c r="K423" s="411"/>
      <c r="L423" s="411"/>
      <c r="M423" s="411"/>
      <c r="N423" s="411"/>
      <c r="O423" s="411"/>
      <c r="P423" s="411"/>
      <c r="Q423" s="404" t="s">
        <v>26</v>
      </c>
      <c r="R423" s="405"/>
      <c r="S423" s="405"/>
      <c r="T423" s="405"/>
      <c r="U423" s="405"/>
      <c r="V423" s="405"/>
      <c r="W423" s="406"/>
      <c r="X423" s="406"/>
    </row>
    <row r="424" customFormat="false" ht="15" hidden="false" customHeight="true" outlineLevel="0" collapsed="false">
      <c r="A424" s="414" t="s">
        <v>409</v>
      </c>
      <c r="B424" s="414"/>
      <c r="C424" s="414"/>
      <c r="D424" s="415" t="s">
        <v>410</v>
      </c>
      <c r="E424" s="415"/>
      <c r="F424" s="416" t="s">
        <v>411</v>
      </c>
      <c r="G424" s="417" t="s">
        <v>412</v>
      </c>
      <c r="H424" s="418" t="s">
        <v>413</v>
      </c>
      <c r="I424" s="419" t="s">
        <v>414</v>
      </c>
      <c r="J424" s="420" t="s">
        <v>49</v>
      </c>
      <c r="K424" s="421"/>
      <c r="L424" s="421"/>
      <c r="M424" s="421"/>
      <c r="N424" s="421"/>
      <c r="O424" s="421"/>
      <c r="P424" s="421"/>
      <c r="Q424" s="422" t="s">
        <v>26</v>
      </c>
      <c r="R424" s="405"/>
      <c r="S424" s="405"/>
      <c r="T424" s="405"/>
      <c r="U424" s="405"/>
      <c r="V424" s="405"/>
      <c r="W424" s="406"/>
      <c r="X424" s="406"/>
    </row>
    <row r="425" customFormat="false" ht="15" hidden="false" customHeight="true" outlineLevel="0" collapsed="false">
      <c r="A425" s="414"/>
      <c r="B425" s="414"/>
      <c r="C425" s="414"/>
      <c r="D425" s="415"/>
      <c r="E425" s="415"/>
      <c r="F425" s="416"/>
      <c r="G425" s="417"/>
      <c r="H425" s="423" t="s">
        <v>415</v>
      </c>
      <c r="I425" s="424" t="s">
        <v>416</v>
      </c>
      <c r="J425" s="425" t="s">
        <v>49</v>
      </c>
      <c r="K425" s="421"/>
      <c r="L425" s="421"/>
      <c r="M425" s="421"/>
      <c r="N425" s="421"/>
      <c r="O425" s="421"/>
      <c r="P425" s="421"/>
      <c r="Q425" s="422"/>
      <c r="R425" s="405"/>
      <c r="S425" s="405"/>
      <c r="T425" s="405"/>
      <c r="U425" s="405"/>
      <c r="V425" s="405"/>
      <c r="W425" s="406"/>
      <c r="X425" s="406"/>
    </row>
    <row r="426" customFormat="false" ht="6" hidden="false" customHeight="true" outlineLevel="0" collapsed="false">
      <c r="A426" s="391"/>
      <c r="B426" s="426"/>
      <c r="C426" s="426"/>
      <c r="D426" s="426"/>
      <c r="E426" s="426"/>
      <c r="F426" s="426"/>
      <c r="G426" s="426"/>
      <c r="H426" s="426"/>
      <c r="I426" s="427"/>
      <c r="J426" s="427"/>
      <c r="K426" s="427"/>
      <c r="L426" s="426"/>
      <c r="M426" s="426"/>
      <c r="N426" s="426"/>
      <c r="O426" s="428"/>
      <c r="P426" s="428"/>
      <c r="Q426" s="428"/>
      <c r="R426" s="405"/>
      <c r="S426" s="405"/>
      <c r="T426" s="405"/>
      <c r="U426" s="405"/>
      <c r="V426" s="405"/>
      <c r="W426" s="406"/>
      <c r="X426" s="406"/>
    </row>
    <row r="427" customFormat="false" ht="15" hidden="false" customHeight="true" outlineLevel="0" collapsed="false">
      <c r="A427" s="396" t="s">
        <v>417</v>
      </c>
      <c r="B427" s="396"/>
      <c r="C427" s="396"/>
      <c r="D427" s="396"/>
      <c r="E427" s="396"/>
      <c r="F427" s="396"/>
      <c r="G427" s="396"/>
      <c r="H427" s="396"/>
      <c r="I427" s="396"/>
      <c r="J427" s="396"/>
      <c r="K427" s="396"/>
      <c r="L427" s="396"/>
      <c r="M427" s="396"/>
      <c r="N427" s="396"/>
      <c r="O427" s="396"/>
      <c r="P427" s="396"/>
      <c r="Q427" s="397" t="s">
        <v>21</v>
      </c>
      <c r="R427" s="405"/>
      <c r="S427" s="405"/>
      <c r="T427" s="405"/>
      <c r="U427" s="405"/>
      <c r="V427" s="405"/>
      <c r="W427" s="406"/>
      <c r="X427" s="406"/>
    </row>
    <row r="428" customFormat="false" ht="15" hidden="false" customHeight="true" outlineLevel="0" collapsed="false">
      <c r="A428" s="409" t="s">
        <v>280</v>
      </c>
      <c r="B428" s="409"/>
      <c r="C428" s="409"/>
      <c r="D428" s="409"/>
      <c r="E428" s="352" t="s">
        <v>418</v>
      </c>
      <c r="F428" s="352"/>
      <c r="G428" s="352"/>
      <c r="H428" s="352"/>
      <c r="I428" s="409" t="s">
        <v>280</v>
      </c>
      <c r="J428" s="409"/>
      <c r="K428" s="409"/>
      <c r="L428" s="409"/>
      <c r="M428" s="352" t="s">
        <v>418</v>
      </c>
      <c r="N428" s="352"/>
      <c r="O428" s="352"/>
      <c r="P428" s="352"/>
      <c r="Q428" s="397"/>
      <c r="R428" s="405"/>
      <c r="S428" s="405"/>
      <c r="T428" s="405"/>
      <c r="U428" s="405"/>
      <c r="V428" s="405"/>
      <c r="W428" s="406"/>
      <c r="X428" s="406"/>
    </row>
    <row r="429" customFormat="false" ht="21" hidden="false" customHeight="true" outlineLevel="0" collapsed="false">
      <c r="A429" s="429" t="s">
        <v>419</v>
      </c>
      <c r="B429" s="429"/>
      <c r="C429" s="404" t="n">
        <v>1</v>
      </c>
      <c r="D429" s="404"/>
      <c r="E429" s="404"/>
      <c r="F429" s="404"/>
      <c r="G429" s="404"/>
      <c r="H429" s="404"/>
      <c r="I429" s="430" t="s">
        <v>420</v>
      </c>
      <c r="J429" s="430"/>
      <c r="K429" s="431" t="s">
        <v>421</v>
      </c>
      <c r="L429" s="431"/>
      <c r="M429" s="431"/>
      <c r="N429" s="431"/>
      <c r="O429" s="431"/>
      <c r="P429" s="431"/>
      <c r="Q429" s="422" t="s">
        <v>26</v>
      </c>
      <c r="R429" s="405"/>
      <c r="S429" s="405"/>
      <c r="T429" s="405"/>
      <c r="U429" s="405"/>
      <c r="V429" s="405"/>
      <c r="W429" s="406"/>
      <c r="X429" s="406"/>
    </row>
    <row r="430" customFormat="false" ht="21" hidden="false" customHeight="true" outlineLevel="0" collapsed="false">
      <c r="A430" s="429"/>
      <c r="B430" s="429"/>
      <c r="C430" s="404" t="n">
        <v>2</v>
      </c>
      <c r="D430" s="404"/>
      <c r="E430" s="404"/>
      <c r="F430" s="404"/>
      <c r="G430" s="404"/>
      <c r="H430" s="404"/>
      <c r="I430" s="430"/>
      <c r="J430" s="430"/>
      <c r="K430" s="431"/>
      <c r="L430" s="431"/>
      <c r="M430" s="431"/>
      <c r="N430" s="431"/>
      <c r="O430" s="431"/>
      <c r="P430" s="431"/>
      <c r="Q430" s="422"/>
      <c r="R430" s="405"/>
      <c r="S430" s="405"/>
      <c r="T430" s="405"/>
      <c r="U430" s="405"/>
      <c r="V430" s="405"/>
      <c r="W430" s="406"/>
      <c r="X430" s="406"/>
    </row>
    <row r="431" customFormat="false" ht="21" hidden="false" customHeight="true" outlineLevel="0" collapsed="false">
      <c r="A431" s="429"/>
      <c r="B431" s="429"/>
      <c r="C431" s="404" t="n">
        <v>3</v>
      </c>
      <c r="D431" s="404"/>
      <c r="E431" s="404"/>
      <c r="F431" s="404"/>
      <c r="G431" s="404"/>
      <c r="H431" s="404"/>
      <c r="I431" s="430"/>
      <c r="J431" s="430"/>
      <c r="K431" s="431"/>
      <c r="L431" s="431"/>
      <c r="M431" s="431"/>
      <c r="N431" s="431"/>
      <c r="O431" s="431"/>
      <c r="P431" s="431"/>
      <c r="Q431" s="422"/>
      <c r="R431" s="405"/>
      <c r="S431" s="405"/>
      <c r="T431" s="405"/>
      <c r="U431" s="405"/>
      <c r="V431" s="405"/>
      <c r="W431" s="406"/>
      <c r="X431" s="406"/>
    </row>
    <row r="432" customFormat="false" ht="21" hidden="false" customHeight="true" outlineLevel="0" collapsed="false">
      <c r="A432" s="429"/>
      <c r="B432" s="429"/>
      <c r="C432" s="404" t="n">
        <v>4</v>
      </c>
      <c r="D432" s="404"/>
      <c r="E432" s="404"/>
      <c r="F432" s="404"/>
      <c r="G432" s="404"/>
      <c r="H432" s="404"/>
      <c r="I432" s="430"/>
      <c r="J432" s="430"/>
      <c r="K432" s="431"/>
      <c r="L432" s="431"/>
      <c r="M432" s="431"/>
      <c r="N432" s="431"/>
      <c r="O432" s="431"/>
      <c r="P432" s="431"/>
      <c r="Q432" s="422"/>
      <c r="R432" s="405"/>
      <c r="S432" s="405"/>
      <c r="T432" s="405"/>
      <c r="U432" s="405"/>
      <c r="V432" s="405"/>
      <c r="W432" s="406"/>
      <c r="X432" s="406"/>
    </row>
    <row r="433" customFormat="false" ht="21" hidden="false" customHeight="true" outlineLevel="0" collapsed="false">
      <c r="A433" s="429"/>
      <c r="B433" s="429"/>
      <c r="C433" s="404" t="n">
        <v>5</v>
      </c>
      <c r="D433" s="404"/>
      <c r="E433" s="404"/>
      <c r="F433" s="404"/>
      <c r="G433" s="404"/>
      <c r="H433" s="404"/>
      <c r="I433" s="430"/>
      <c r="J433" s="430"/>
      <c r="K433" s="431"/>
      <c r="L433" s="431"/>
      <c r="M433" s="431"/>
      <c r="N433" s="431"/>
      <c r="O433" s="431"/>
      <c r="P433" s="431"/>
      <c r="Q433" s="422"/>
      <c r="R433" s="405"/>
      <c r="S433" s="405"/>
      <c r="T433" s="405"/>
      <c r="U433" s="405"/>
      <c r="V433" s="405"/>
      <c r="W433" s="406"/>
      <c r="X433" s="406"/>
    </row>
    <row r="434" customFormat="false" ht="21" hidden="false" customHeight="true" outlineLevel="0" collapsed="false">
      <c r="A434" s="429"/>
      <c r="B434" s="429"/>
      <c r="C434" s="404" t="n">
        <v>6</v>
      </c>
      <c r="D434" s="404"/>
      <c r="E434" s="404"/>
      <c r="F434" s="404"/>
      <c r="G434" s="404"/>
      <c r="H434" s="404"/>
      <c r="I434" s="430"/>
      <c r="J434" s="430"/>
      <c r="K434" s="405" t="s">
        <v>422</v>
      </c>
      <c r="L434" s="405"/>
      <c r="M434" s="422"/>
      <c r="N434" s="422"/>
      <c r="O434" s="422"/>
      <c r="P434" s="422"/>
      <c r="Q434" s="422"/>
      <c r="R434" s="405"/>
      <c r="S434" s="405"/>
      <c r="T434" s="405"/>
      <c r="U434" s="405"/>
      <c r="V434" s="405"/>
      <c r="W434" s="406"/>
      <c r="X434" s="406"/>
    </row>
    <row r="435" customFormat="false" ht="19.5" hidden="false" customHeight="true" outlineLevel="0" collapsed="false">
      <c r="A435" s="429"/>
      <c r="B435" s="429"/>
      <c r="C435" s="404" t="n">
        <v>7</v>
      </c>
      <c r="D435" s="404"/>
      <c r="E435" s="404"/>
      <c r="F435" s="404"/>
      <c r="G435" s="404"/>
      <c r="H435" s="404"/>
      <c r="I435" s="430"/>
      <c r="J435" s="430"/>
      <c r="K435" s="405"/>
      <c r="L435" s="405"/>
      <c r="M435" s="422"/>
      <c r="N435" s="422"/>
      <c r="O435" s="422"/>
      <c r="P435" s="422"/>
      <c r="Q435" s="422"/>
      <c r="R435" s="405"/>
      <c r="S435" s="405"/>
      <c r="T435" s="405"/>
      <c r="U435" s="405"/>
      <c r="V435" s="405"/>
      <c r="W435" s="406"/>
      <c r="X435" s="406"/>
    </row>
    <row r="436" customFormat="false" ht="19.5" hidden="false" customHeight="true" outlineLevel="0" collapsed="false">
      <c r="A436" s="429"/>
      <c r="B436" s="429"/>
      <c r="C436" s="404" t="n">
        <v>8</v>
      </c>
      <c r="D436" s="404"/>
      <c r="E436" s="404"/>
      <c r="F436" s="404"/>
      <c r="G436" s="404"/>
      <c r="H436" s="404"/>
      <c r="I436" s="430"/>
      <c r="J436" s="430"/>
      <c r="K436" s="405"/>
      <c r="L436" s="405"/>
      <c r="M436" s="422"/>
      <c r="N436" s="422"/>
      <c r="O436" s="422"/>
      <c r="P436" s="422"/>
      <c r="Q436" s="422"/>
      <c r="R436" s="405"/>
      <c r="S436" s="405"/>
      <c r="T436" s="405"/>
      <c r="U436" s="405"/>
      <c r="V436" s="405"/>
      <c r="W436" s="406"/>
      <c r="X436" s="406"/>
    </row>
    <row r="437" customFormat="false" ht="19.5" hidden="false" customHeight="true" outlineLevel="0" collapsed="false">
      <c r="A437" s="429"/>
      <c r="B437" s="429"/>
      <c r="C437" s="404" t="n">
        <v>9</v>
      </c>
      <c r="D437" s="404"/>
      <c r="E437" s="404"/>
      <c r="F437" s="404"/>
      <c r="G437" s="404"/>
      <c r="H437" s="404"/>
      <c r="I437" s="430"/>
      <c r="J437" s="430"/>
      <c r="K437" s="405"/>
      <c r="L437" s="405"/>
      <c r="M437" s="422"/>
      <c r="N437" s="422"/>
      <c r="O437" s="422"/>
      <c r="P437" s="422"/>
      <c r="Q437" s="422"/>
      <c r="R437" s="405"/>
      <c r="S437" s="405"/>
      <c r="T437" s="405"/>
      <c r="U437" s="405"/>
      <c r="V437" s="405"/>
      <c r="W437" s="406"/>
      <c r="X437" s="406"/>
    </row>
    <row r="438" customFormat="false" ht="19.5" hidden="false" customHeight="true" outlineLevel="0" collapsed="false">
      <c r="A438" s="429"/>
      <c r="B438" s="429"/>
      <c r="C438" s="422" t="n">
        <v>10</v>
      </c>
      <c r="D438" s="422"/>
      <c r="E438" s="422"/>
      <c r="F438" s="422"/>
      <c r="G438" s="422"/>
      <c r="H438" s="422"/>
      <c r="I438" s="430"/>
      <c r="J438" s="430"/>
      <c r="K438" s="405"/>
      <c r="L438" s="405"/>
      <c r="M438" s="422"/>
      <c r="N438" s="422"/>
      <c r="O438" s="422"/>
      <c r="P438" s="422"/>
      <c r="Q438" s="422"/>
      <c r="R438" s="405"/>
      <c r="S438" s="405"/>
      <c r="T438" s="405"/>
      <c r="U438" s="405"/>
      <c r="V438" s="405"/>
      <c r="W438" s="406"/>
      <c r="X438" s="406"/>
    </row>
    <row r="439" customFormat="false" ht="18.75" hidden="false" customHeight="true" outlineLevel="0" collapsed="false">
      <c r="A439" s="343" t="s">
        <v>82</v>
      </c>
    </row>
    <row r="440" customFormat="false" ht="33.75" hidden="false" customHeight="true" outlineLevel="0" collapsed="false">
      <c r="A440" s="344"/>
      <c r="B440" s="344"/>
      <c r="C440" s="344"/>
      <c r="D440" s="344"/>
      <c r="E440" s="344"/>
      <c r="F440" s="96" t="s">
        <v>423</v>
      </c>
      <c r="G440" s="96"/>
      <c r="H440" s="96"/>
      <c r="I440" s="96"/>
      <c r="J440" s="96"/>
      <c r="K440" s="96"/>
      <c r="L440" s="96"/>
      <c r="M440" s="96"/>
      <c r="N440" s="345" t="s">
        <v>382</v>
      </c>
      <c r="O440" s="345"/>
      <c r="P440" s="345"/>
      <c r="Q440" s="345"/>
      <c r="R440" s="345"/>
      <c r="S440" s="345"/>
      <c r="T440" s="345"/>
      <c r="U440" s="345"/>
      <c r="V440" s="345"/>
      <c r="W440" s="345"/>
      <c r="X440" s="345"/>
    </row>
    <row r="441" customFormat="false" ht="22.5" hidden="false" customHeight="true" outlineLevel="0" collapsed="false">
      <c r="A441" s="127" t="s">
        <v>85</v>
      </c>
      <c r="B441" s="127"/>
      <c r="C441" s="127"/>
      <c r="D441" s="127"/>
      <c r="E441" s="128" t="s">
        <v>2</v>
      </c>
      <c r="F441" s="128"/>
      <c r="G441" s="128"/>
      <c r="H441" s="128"/>
      <c r="I441" s="128"/>
      <c r="J441" s="128"/>
      <c r="K441" s="128"/>
      <c r="L441" s="129" t="s">
        <v>86</v>
      </c>
      <c r="M441" s="129"/>
      <c r="N441" s="129"/>
      <c r="O441" s="129"/>
      <c r="P441" s="129"/>
      <c r="Q441" s="130" t="s">
        <v>87</v>
      </c>
      <c r="R441" s="130"/>
      <c r="S441" s="130"/>
      <c r="T441" s="130"/>
      <c r="U441" s="130"/>
      <c r="V441" s="130"/>
      <c r="W441" s="130"/>
      <c r="X441" s="130"/>
    </row>
    <row r="442" customFormat="false" ht="22.5" hidden="false" customHeight="true" outlineLevel="0" collapsed="false">
      <c r="A442" s="131" t="s">
        <v>88</v>
      </c>
      <c r="B442" s="131"/>
      <c r="C442" s="131"/>
      <c r="D442" s="131"/>
      <c r="E442" s="132" t="s">
        <v>6</v>
      </c>
      <c r="F442" s="132"/>
      <c r="G442" s="132"/>
      <c r="H442" s="132"/>
      <c r="I442" s="132"/>
      <c r="J442" s="132"/>
      <c r="K442" s="132"/>
      <c r="L442" s="132" t="s">
        <v>89</v>
      </c>
      <c r="M442" s="132"/>
      <c r="N442" s="132"/>
      <c r="O442" s="132"/>
      <c r="P442" s="132"/>
      <c r="Q442" s="133" t="s">
        <v>90</v>
      </c>
      <c r="R442" s="133"/>
      <c r="S442" s="133"/>
      <c r="T442" s="134" t="s">
        <v>52</v>
      </c>
      <c r="U442" s="135" t="s">
        <v>91</v>
      </c>
      <c r="V442" s="135"/>
      <c r="W442" s="135"/>
      <c r="X442" s="136" t="s">
        <v>49</v>
      </c>
    </row>
    <row r="443" customFormat="false" ht="6" hidden="false" customHeight="true" outlineLevel="0" collapsed="false">
      <c r="A443" s="360"/>
      <c r="B443" s="360"/>
      <c r="C443" s="360"/>
      <c r="D443" s="360"/>
      <c r="E443" s="360"/>
      <c r="F443" s="360"/>
      <c r="G443" s="360"/>
      <c r="H443" s="360"/>
      <c r="I443" s="360"/>
      <c r="J443" s="360"/>
      <c r="K443" s="360"/>
      <c r="L443" s="360"/>
      <c r="M443" s="360"/>
      <c r="N443" s="360"/>
      <c r="O443" s="360"/>
      <c r="P443" s="360"/>
      <c r="Q443" s="361"/>
      <c r="R443" s="361"/>
      <c r="S443" s="361"/>
      <c r="T443" s="362"/>
      <c r="U443" s="363"/>
      <c r="V443" s="363"/>
      <c r="W443" s="363"/>
      <c r="X443" s="362"/>
    </row>
    <row r="444" customFormat="false" ht="15" hidden="false" customHeight="true" outlineLevel="0" collapsed="false">
      <c r="A444" s="383" t="s">
        <v>424</v>
      </c>
      <c r="B444" s="432"/>
      <c r="C444" s="432"/>
      <c r="D444" s="433"/>
      <c r="E444" s="433"/>
      <c r="F444" s="384"/>
      <c r="G444" s="384"/>
      <c r="H444" s="384"/>
      <c r="I444" s="384"/>
      <c r="J444" s="384"/>
      <c r="K444" s="314"/>
      <c r="L444" s="314"/>
      <c r="M444" s="314"/>
      <c r="N444" s="314"/>
      <c r="O444" s="314"/>
      <c r="P444" s="314"/>
      <c r="Q444" s="314"/>
      <c r="R444" s="314"/>
      <c r="S444" s="314"/>
      <c r="T444" s="314"/>
      <c r="U444" s="314"/>
      <c r="V444" s="314"/>
      <c r="W444" s="314"/>
      <c r="X444" s="314"/>
    </row>
    <row r="445" customFormat="false" ht="16.5" hidden="false" customHeight="true" outlineLevel="0" collapsed="false">
      <c r="A445" s="385" t="s">
        <v>425</v>
      </c>
      <c r="B445" s="434"/>
      <c r="C445" s="434"/>
      <c r="D445" s="434"/>
      <c r="E445" s="434"/>
      <c r="F445" s="434"/>
      <c r="G445" s="434"/>
      <c r="H445" s="434"/>
      <c r="I445" s="434"/>
      <c r="J445" s="434"/>
      <c r="K445" s="434"/>
      <c r="L445" s="435" t="s">
        <v>269</v>
      </c>
      <c r="M445" s="436"/>
      <c r="N445" s="436"/>
      <c r="O445" s="436"/>
      <c r="P445" s="437" t="s">
        <v>426</v>
      </c>
      <c r="Q445" s="438" t="s">
        <v>427</v>
      </c>
      <c r="R445" s="438"/>
      <c r="S445" s="438"/>
      <c r="T445" s="438"/>
      <c r="U445" s="438"/>
      <c r="V445" s="438"/>
      <c r="W445" s="438"/>
      <c r="X445" s="438"/>
    </row>
    <row r="446" customFormat="false" ht="16.5" hidden="false" customHeight="true" outlineLevel="0" collapsed="false">
      <c r="A446" s="385" t="s">
        <v>428</v>
      </c>
      <c r="B446" s="434"/>
      <c r="C446" s="434"/>
      <c r="D446" s="434"/>
      <c r="E446" s="434"/>
      <c r="F446" s="434"/>
      <c r="G446" s="434"/>
      <c r="H446" s="434"/>
      <c r="I446" s="434"/>
      <c r="J446" s="434"/>
      <c r="K446" s="434"/>
      <c r="L446" s="435" t="s">
        <v>269</v>
      </c>
      <c r="M446" s="439"/>
      <c r="N446" s="439"/>
      <c r="O446" s="439"/>
      <c r="P446" s="437" t="s">
        <v>426</v>
      </c>
      <c r="Q446" s="438" t="s">
        <v>429</v>
      </c>
      <c r="R446" s="438"/>
      <c r="S446" s="438"/>
      <c r="T446" s="438"/>
      <c r="U446" s="438"/>
      <c r="V446" s="438"/>
      <c r="W446" s="438"/>
      <c r="X446" s="438"/>
    </row>
    <row r="447" customFormat="false" ht="18" hidden="false" customHeight="true" outlineLevel="0" collapsed="false">
      <c r="A447" s="385" t="s">
        <v>271</v>
      </c>
      <c r="L447" s="440" t="s">
        <v>23</v>
      </c>
      <c r="M447" s="440"/>
      <c r="N447" s="441"/>
      <c r="O447" s="441"/>
      <c r="P447" s="441"/>
      <c r="Q447" s="442" t="s">
        <v>272</v>
      </c>
      <c r="R447" s="442"/>
      <c r="S447" s="443"/>
      <c r="T447" s="443"/>
      <c r="U447" s="443"/>
      <c r="V447" s="443"/>
    </row>
    <row r="448" customFormat="false" ht="8.25" hidden="false" customHeight="true" outlineLevel="0" collapsed="false">
      <c r="A448" s="298"/>
      <c r="B448" s="313"/>
      <c r="C448" s="313"/>
      <c r="D448" s="313"/>
      <c r="E448" s="313"/>
      <c r="F448" s="313"/>
      <c r="G448" s="313"/>
      <c r="H448" s="313"/>
      <c r="I448" s="313"/>
      <c r="J448" s="313"/>
      <c r="K448" s="313"/>
      <c r="L448" s="313"/>
      <c r="M448" s="313"/>
      <c r="N448" s="313"/>
      <c r="O448" s="313"/>
      <c r="P448" s="313"/>
      <c r="Q448" s="313"/>
      <c r="R448" s="313"/>
      <c r="S448" s="313"/>
      <c r="T448" s="313"/>
      <c r="U448" s="313"/>
      <c r="V448" s="313"/>
      <c r="W448" s="313"/>
      <c r="X448" s="313"/>
    </row>
    <row r="449" customFormat="false" ht="15" hidden="false" customHeight="true" outlineLevel="0" collapsed="false">
      <c r="A449" s="393" t="s">
        <v>430</v>
      </c>
      <c r="B449" s="444"/>
      <c r="C449" s="444"/>
      <c r="D449" s="444"/>
      <c r="E449" s="444"/>
      <c r="F449" s="444"/>
    </row>
    <row r="450" customFormat="false" ht="17.25" hidden="false" customHeight="true" outlineLevel="0" collapsed="false">
      <c r="A450" s="391" t="s">
        <v>275</v>
      </c>
    </row>
    <row r="451" customFormat="false" ht="17.25" hidden="false" customHeight="true" outlineLevel="0" collapsed="false">
      <c r="A451" s="391" t="s">
        <v>276</v>
      </c>
    </row>
    <row r="452" customFormat="false" ht="30" hidden="false" customHeight="true" outlineLevel="0" collapsed="false">
      <c r="A452" s="385"/>
      <c r="B452" s="445" t="s">
        <v>431</v>
      </c>
      <c r="C452" s="445"/>
      <c r="D452" s="446"/>
      <c r="E452" s="446"/>
      <c r="F452" s="446"/>
      <c r="G452" s="446"/>
      <c r="H452" s="446" t="s">
        <v>278</v>
      </c>
      <c r="I452" s="446"/>
      <c r="J452" s="446"/>
      <c r="K452" s="447"/>
      <c r="L452" s="447"/>
      <c r="M452" s="447"/>
      <c r="N452" s="447"/>
      <c r="O452" s="447"/>
      <c r="P452" s="446" t="s">
        <v>432</v>
      </c>
      <c r="Q452" s="446"/>
      <c r="R452" s="446"/>
      <c r="S452" s="447"/>
      <c r="T452" s="447"/>
      <c r="U452" s="447"/>
      <c r="V452" s="447"/>
    </row>
    <row r="453" customFormat="false" ht="6" hidden="false" customHeight="true" outlineLevel="0" collapsed="false">
      <c r="A453" s="385"/>
    </row>
    <row r="454" customFormat="false" ht="16.5" hidden="false" customHeight="true" outlineLevel="0" collapsed="false">
      <c r="A454" s="396" t="s">
        <v>280</v>
      </c>
      <c r="B454" s="396"/>
      <c r="C454" s="396"/>
      <c r="D454" s="396"/>
      <c r="E454" s="397" t="s">
        <v>281</v>
      </c>
      <c r="F454" s="397"/>
      <c r="G454" s="397"/>
      <c r="H454" s="397" t="s">
        <v>282</v>
      </c>
      <c r="I454" s="397"/>
      <c r="J454" s="397"/>
      <c r="K454" s="397"/>
      <c r="L454" s="397"/>
      <c r="M454" s="397" t="s">
        <v>283</v>
      </c>
      <c r="N454" s="397"/>
      <c r="O454" s="397"/>
      <c r="P454" s="397" t="s">
        <v>284</v>
      </c>
      <c r="Q454" s="397"/>
      <c r="R454" s="397"/>
      <c r="S454" s="448" t="s">
        <v>22</v>
      </c>
      <c r="T454" s="448"/>
      <c r="U454" s="448" t="s">
        <v>23</v>
      </c>
      <c r="V454" s="448"/>
      <c r="W454" s="449" t="s">
        <v>285</v>
      </c>
      <c r="X454" s="449"/>
    </row>
    <row r="455" customFormat="false" ht="27" hidden="false" customHeight="true" outlineLevel="0" collapsed="false">
      <c r="A455" s="450" t="s">
        <v>433</v>
      </c>
      <c r="B455" s="450"/>
      <c r="C455" s="450"/>
      <c r="D455" s="450"/>
      <c r="E455" s="451" t="s">
        <v>434</v>
      </c>
      <c r="F455" s="451"/>
      <c r="G455" s="451"/>
      <c r="H455" s="452" t="str">
        <f aca="false">I51&amp;"~"&amp;I50</f>
        <v>5g</v>
      </c>
      <c r="I455" s="452"/>
      <c r="J455" s="452"/>
      <c r="K455" s="452"/>
      <c r="L455" s="452"/>
      <c r="M455" s="453"/>
      <c r="N455" s="453"/>
      <c r="O455" s="453"/>
      <c r="P455" s="404" t="s">
        <v>288</v>
      </c>
      <c r="Q455" s="404"/>
      <c r="R455" s="404"/>
      <c r="S455" s="453"/>
      <c r="T455" s="453"/>
      <c r="U455" s="454"/>
      <c r="V455" s="454"/>
      <c r="W455" s="455"/>
      <c r="X455" s="455"/>
    </row>
    <row r="456" customFormat="false" ht="28.5" hidden="false" customHeight="true" outlineLevel="0" collapsed="false">
      <c r="A456" s="456" t="s">
        <v>407</v>
      </c>
      <c r="B456" s="456"/>
      <c r="C456" s="456"/>
      <c r="D456" s="456"/>
      <c r="E456" s="457" t="s">
        <v>435</v>
      </c>
      <c r="F456" s="457"/>
      <c r="G456" s="457"/>
      <c r="H456" s="458" t="str">
        <f aca="false">D49</f>
        <v>-550 mmHg, 1분/적합하여야 한다.</v>
      </c>
      <c r="I456" s="458"/>
      <c r="J456" s="458"/>
      <c r="K456" s="458"/>
      <c r="L456" s="458"/>
      <c r="M456" s="459"/>
      <c r="N456" s="459"/>
      <c r="O456" s="459"/>
      <c r="P456" s="422" t="s">
        <v>288</v>
      </c>
      <c r="Q456" s="422"/>
      <c r="R456" s="422"/>
      <c r="S456" s="459"/>
      <c r="T456" s="459"/>
      <c r="U456" s="460"/>
      <c r="V456" s="460"/>
      <c r="W456" s="455"/>
      <c r="X456" s="455"/>
    </row>
    <row r="457" customFormat="false" ht="7.5" hidden="false" customHeight="true" outlineLevel="0" collapsed="false"/>
    <row r="458" customFormat="false" ht="13.5" hidden="false" customHeight="true" outlineLevel="0" collapsed="false">
      <c r="A458" s="461" t="s">
        <v>436</v>
      </c>
    </row>
    <row r="459" customFormat="false" ht="30" hidden="false" customHeight="true" outlineLevel="0" collapsed="false">
      <c r="A459" s="462"/>
      <c r="B459" s="463" t="s">
        <v>307</v>
      </c>
      <c r="C459" s="463"/>
      <c r="D459" s="463"/>
      <c r="E459" s="464"/>
      <c r="F459" s="464"/>
      <c r="G459" s="464"/>
      <c r="H459" s="464"/>
      <c r="I459" s="465" t="s">
        <v>308</v>
      </c>
      <c r="J459" s="465"/>
      <c r="K459" s="465"/>
      <c r="L459" s="464"/>
      <c r="M459" s="464"/>
      <c r="N459" s="464"/>
      <c r="O459" s="464"/>
      <c r="P459" s="464"/>
      <c r="Q459" s="464"/>
      <c r="R459" s="466" t="s">
        <v>309</v>
      </c>
      <c r="S459" s="466"/>
      <c r="T459" s="466"/>
      <c r="U459" s="467"/>
      <c r="V459" s="467"/>
      <c r="W459" s="467"/>
      <c r="X459" s="467"/>
    </row>
    <row r="460" customFormat="false" ht="7.5" hidden="false" customHeight="true" outlineLevel="0" collapsed="false"/>
    <row r="461" customFormat="false" ht="15" hidden="false" customHeight="true" outlineLevel="0" collapsed="false">
      <c r="A461" s="393" t="s">
        <v>437</v>
      </c>
      <c r="B461" s="444"/>
      <c r="C461" s="444"/>
      <c r="D461" s="444"/>
      <c r="E461" s="444"/>
      <c r="F461" s="444"/>
      <c r="G461" s="444"/>
    </row>
    <row r="462" customFormat="false" ht="18.75" hidden="false" customHeight="true" outlineLevel="0" collapsed="false">
      <c r="A462" s="461" t="s">
        <v>311</v>
      </c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359"/>
      <c r="P462" s="359"/>
      <c r="R462" s="469" t="s">
        <v>312</v>
      </c>
      <c r="S462" s="469"/>
      <c r="T462" s="469"/>
      <c r="U462" s="397" t="s">
        <v>22</v>
      </c>
      <c r="V462" s="397"/>
      <c r="W462" s="470" t="s">
        <v>23</v>
      </c>
      <c r="X462" s="470"/>
    </row>
    <row r="463" customFormat="false" ht="30" hidden="false" customHeight="true" outlineLevel="0" collapsed="false">
      <c r="A463" s="426"/>
      <c r="B463" s="471" t="s">
        <v>438</v>
      </c>
      <c r="C463" s="471"/>
      <c r="D463" s="471"/>
      <c r="E463" s="471"/>
      <c r="F463" s="471"/>
      <c r="G463" s="472"/>
      <c r="H463" s="472"/>
      <c r="I463" s="472"/>
      <c r="J463" s="472"/>
      <c r="K463" s="472"/>
      <c r="L463" s="472"/>
      <c r="M463" s="472"/>
      <c r="N463" s="473" t="s">
        <v>439</v>
      </c>
      <c r="O463" s="473"/>
      <c r="P463" s="473"/>
      <c r="Q463" s="473"/>
      <c r="R463" s="474"/>
      <c r="S463" s="474"/>
      <c r="T463" s="474"/>
      <c r="U463" s="422"/>
      <c r="V463" s="422"/>
      <c r="W463" s="475"/>
      <c r="X463" s="475"/>
    </row>
    <row r="464" customFormat="false" ht="30" hidden="false" customHeight="true" outlineLevel="0" collapsed="false">
      <c r="A464" s="426"/>
      <c r="B464" s="476" t="s">
        <v>440</v>
      </c>
      <c r="C464" s="476"/>
      <c r="D464" s="476"/>
      <c r="E464" s="476"/>
      <c r="F464" s="476"/>
      <c r="G464" s="431"/>
      <c r="H464" s="431"/>
      <c r="I464" s="431"/>
      <c r="J464" s="431"/>
      <c r="K464" s="431"/>
      <c r="L464" s="431"/>
      <c r="M464" s="431"/>
      <c r="N464" s="477" t="s">
        <v>441</v>
      </c>
      <c r="O464" s="477"/>
      <c r="P464" s="477"/>
      <c r="Q464" s="477"/>
      <c r="R464" s="474"/>
      <c r="S464" s="474"/>
      <c r="T464" s="474"/>
      <c r="U464" s="422"/>
      <c r="V464" s="422"/>
      <c r="W464" s="475"/>
      <c r="X464" s="475"/>
    </row>
    <row r="465" customFormat="false" ht="30" hidden="false" customHeight="true" outlineLevel="0" collapsed="false">
      <c r="A465" s="426"/>
      <c r="B465" s="478" t="s">
        <v>315</v>
      </c>
      <c r="C465" s="478"/>
      <c r="D465" s="479" t="s">
        <v>442</v>
      </c>
      <c r="E465" s="479"/>
      <c r="F465" s="479"/>
      <c r="G465" s="431"/>
      <c r="H465" s="431"/>
      <c r="I465" s="431"/>
      <c r="J465" s="431"/>
      <c r="K465" s="431"/>
      <c r="L465" s="431"/>
      <c r="M465" s="431"/>
      <c r="N465" s="477" t="s">
        <v>443</v>
      </c>
      <c r="O465" s="477"/>
      <c r="P465" s="477"/>
      <c r="Q465" s="477"/>
      <c r="R465" s="474"/>
      <c r="S465" s="474"/>
      <c r="T465" s="474"/>
      <c r="U465" s="422"/>
      <c r="V465" s="422"/>
      <c r="W465" s="475"/>
      <c r="X465" s="475"/>
    </row>
    <row r="466" customFormat="false" ht="30" hidden="false" customHeight="true" outlineLevel="0" collapsed="false">
      <c r="A466" s="426"/>
      <c r="B466" s="480" t="s">
        <v>318</v>
      </c>
      <c r="C466" s="480"/>
      <c r="D466" s="480"/>
      <c r="E466" s="480"/>
      <c r="F466" s="480"/>
      <c r="G466" s="481"/>
      <c r="H466" s="481"/>
      <c r="I466" s="481"/>
      <c r="J466" s="481"/>
      <c r="K466" s="481"/>
      <c r="L466" s="481"/>
      <c r="M466" s="481"/>
      <c r="N466" s="481"/>
      <c r="O466" s="481"/>
      <c r="P466" s="481"/>
      <c r="Q466" s="481"/>
      <c r="R466" s="474"/>
      <c r="S466" s="474"/>
      <c r="T466" s="474"/>
      <c r="U466" s="422"/>
      <c r="V466" s="422"/>
      <c r="W466" s="475"/>
      <c r="X466" s="475"/>
    </row>
    <row r="467" customFormat="false" ht="6.75" hidden="false" customHeight="true" outlineLevel="0" collapsed="false">
      <c r="A467" s="462"/>
      <c r="B467" s="428"/>
      <c r="C467" s="428"/>
      <c r="D467" s="428"/>
      <c r="E467" s="428"/>
      <c r="F467" s="428"/>
      <c r="G467" s="428"/>
      <c r="H467" s="428"/>
      <c r="I467" s="428"/>
      <c r="J467" s="428"/>
      <c r="K467" s="428"/>
      <c r="L467" s="428"/>
      <c r="M467" s="428"/>
      <c r="N467" s="428"/>
      <c r="O467" s="428"/>
      <c r="P467" s="428"/>
      <c r="Q467" s="428"/>
      <c r="R467" s="428"/>
      <c r="S467" s="428"/>
      <c r="T467" s="428"/>
      <c r="U467" s="428"/>
      <c r="V467" s="428"/>
      <c r="W467" s="428"/>
    </row>
    <row r="468" customFormat="false" ht="18" hidden="false" customHeight="true" outlineLevel="0" collapsed="false">
      <c r="A468" s="461" t="s">
        <v>319</v>
      </c>
      <c r="R468" s="428"/>
      <c r="S468" s="428"/>
      <c r="T468" s="428"/>
      <c r="U468" s="428"/>
      <c r="V468" s="428"/>
      <c r="W468" s="428"/>
    </row>
    <row r="469" customFormat="false" ht="30" hidden="false" customHeight="true" outlineLevel="0" collapsed="false">
      <c r="A469" s="426"/>
      <c r="B469" s="482" t="s">
        <v>320</v>
      </c>
      <c r="C469" s="482"/>
      <c r="D469" s="482"/>
      <c r="E469" s="483" t="s">
        <v>52</v>
      </c>
      <c r="F469" s="483"/>
      <c r="G469" s="483"/>
      <c r="H469" s="483"/>
      <c r="I469" s="483"/>
      <c r="J469" s="483"/>
      <c r="K469" s="484" t="s">
        <v>321</v>
      </c>
      <c r="L469" s="484"/>
      <c r="M469" s="484"/>
      <c r="N469" s="485"/>
      <c r="O469" s="485"/>
      <c r="P469" s="485"/>
      <c r="Q469" s="485"/>
      <c r="R469" s="485"/>
      <c r="S469" s="485"/>
      <c r="T469" s="485"/>
      <c r="U469" s="485"/>
      <c r="V469" s="428"/>
      <c r="W469" s="428"/>
      <c r="X469" s="428"/>
    </row>
    <row r="470" customFormat="false" ht="30" hidden="false" customHeight="true" outlineLevel="0" collapsed="false">
      <c r="A470" s="426"/>
      <c r="B470" s="486" t="s">
        <v>244</v>
      </c>
      <c r="C470" s="486"/>
      <c r="D470" s="486"/>
      <c r="E470" s="422"/>
      <c r="F470" s="422"/>
      <c r="G470" s="422"/>
      <c r="H470" s="422"/>
      <c r="I470" s="422"/>
      <c r="J470" s="422"/>
      <c r="K470" s="422" t="s">
        <v>245</v>
      </c>
      <c r="L470" s="422"/>
      <c r="M470" s="422"/>
      <c r="N470" s="487"/>
      <c r="O470" s="487"/>
      <c r="P470" s="487"/>
      <c r="Q470" s="487"/>
      <c r="R470" s="487"/>
      <c r="S470" s="487"/>
      <c r="T470" s="487"/>
      <c r="U470" s="487"/>
      <c r="V470" s="428"/>
      <c r="W470" s="428"/>
      <c r="X470" s="428"/>
    </row>
    <row r="471" customFormat="false" ht="23.25" hidden="false" customHeight="true" outlineLevel="0" collapsed="false">
      <c r="A471" s="391"/>
      <c r="B471" s="426"/>
      <c r="C471" s="426"/>
      <c r="D471" s="426"/>
      <c r="E471" s="426"/>
      <c r="F471" s="426"/>
      <c r="G471" s="426"/>
      <c r="H471" s="426"/>
      <c r="I471" s="427"/>
      <c r="J471" s="427"/>
      <c r="K471" s="427"/>
      <c r="L471" s="426"/>
      <c r="M471" s="426"/>
      <c r="N471" s="426"/>
      <c r="O471" s="428"/>
      <c r="P471" s="428"/>
      <c r="Q471" s="428"/>
      <c r="R471" s="428"/>
      <c r="S471" s="428"/>
      <c r="T471" s="428"/>
      <c r="U471" s="428"/>
      <c r="V471" s="428"/>
      <c r="W471" s="428"/>
      <c r="X471" s="428"/>
    </row>
    <row r="472" customFormat="false" ht="18.75" hidden="false" customHeight="true" outlineLevel="0" collapsed="false">
      <c r="A472" s="124" t="s">
        <v>82</v>
      </c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</row>
    <row r="473" customFormat="false" ht="33.75" hidden="false" customHeight="true" outlineLevel="0" collapsed="false">
      <c r="A473" s="125" t="s">
        <v>444</v>
      </c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6" t="s">
        <v>445</v>
      </c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</row>
    <row r="474" customFormat="false" ht="22.5" hidden="false" customHeight="true" outlineLevel="0" collapsed="false">
      <c r="A474" s="127" t="s">
        <v>85</v>
      </c>
      <c r="B474" s="127"/>
      <c r="C474" s="127"/>
      <c r="D474" s="127"/>
      <c r="E474" s="128" t="s">
        <v>2</v>
      </c>
      <c r="F474" s="128"/>
      <c r="G474" s="128"/>
      <c r="H474" s="128"/>
      <c r="I474" s="128"/>
      <c r="J474" s="128"/>
      <c r="K474" s="128"/>
      <c r="L474" s="129" t="s">
        <v>86</v>
      </c>
      <c r="M474" s="129"/>
      <c r="N474" s="129"/>
      <c r="O474" s="129"/>
      <c r="P474" s="129"/>
      <c r="Q474" s="130" t="s">
        <v>87</v>
      </c>
      <c r="R474" s="130"/>
      <c r="S474" s="130"/>
      <c r="T474" s="130"/>
      <c r="U474" s="130"/>
      <c r="V474" s="130"/>
      <c r="W474" s="130"/>
      <c r="X474" s="130"/>
    </row>
    <row r="475" customFormat="false" ht="22.5" hidden="false" customHeight="true" outlineLevel="0" collapsed="false">
      <c r="A475" s="131" t="s">
        <v>88</v>
      </c>
      <c r="B475" s="131"/>
      <c r="C475" s="131"/>
      <c r="D475" s="131"/>
      <c r="E475" s="132" t="s">
        <v>6</v>
      </c>
      <c r="F475" s="132"/>
      <c r="G475" s="132"/>
      <c r="H475" s="132"/>
      <c r="I475" s="132"/>
      <c r="J475" s="132"/>
      <c r="K475" s="132"/>
      <c r="L475" s="132" t="s">
        <v>89</v>
      </c>
      <c r="M475" s="132"/>
      <c r="N475" s="132"/>
      <c r="O475" s="132"/>
      <c r="P475" s="132"/>
      <c r="Q475" s="133" t="s">
        <v>90</v>
      </c>
      <c r="R475" s="133"/>
      <c r="S475" s="133"/>
      <c r="T475" s="134" t="s">
        <v>52</v>
      </c>
      <c r="U475" s="135" t="s">
        <v>91</v>
      </c>
      <c r="V475" s="135"/>
      <c r="W475" s="135"/>
      <c r="X475" s="136" t="s">
        <v>49</v>
      </c>
    </row>
    <row r="476" customFormat="false" ht="9.75" hidden="false" customHeight="true" outlineLevel="0" collapsed="false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</row>
    <row r="477" customFormat="false" ht="15" hidden="false" customHeight="true" outlineLevel="0" collapsed="false">
      <c r="A477" s="151" t="s">
        <v>113</v>
      </c>
      <c r="B477" s="152"/>
      <c r="C477" s="152"/>
      <c r="D477" s="152"/>
      <c r="E477" s="153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5" t="s">
        <v>114</v>
      </c>
      <c r="V477" s="155"/>
      <c r="W477" s="155"/>
      <c r="X477" s="155"/>
    </row>
    <row r="478" customFormat="false" ht="15" hidden="false" customHeight="true" outlineLevel="0" collapsed="false">
      <c r="A478" s="227" t="s">
        <v>446</v>
      </c>
      <c r="B478" s="157"/>
      <c r="C478" s="157"/>
      <c r="D478" s="157"/>
      <c r="E478" s="157"/>
      <c r="F478" s="228"/>
      <c r="G478" s="137"/>
      <c r="H478" s="137"/>
      <c r="I478" s="137"/>
      <c r="J478" s="137"/>
      <c r="K478" s="158"/>
      <c r="L478" s="158"/>
      <c r="M478" s="158"/>
      <c r="N478" s="137"/>
      <c r="O478" s="137"/>
      <c r="P478" s="159"/>
      <c r="Q478" s="137"/>
      <c r="R478" s="159" t="s">
        <v>116</v>
      </c>
      <c r="S478" s="137"/>
      <c r="T478" s="137"/>
      <c r="U478" s="488"/>
      <c r="V478" s="488"/>
      <c r="W478" s="488"/>
      <c r="X478" s="488"/>
    </row>
    <row r="479" customFormat="false" ht="15" hidden="false" customHeight="true" outlineLevel="0" collapsed="false">
      <c r="A479" s="230" t="s">
        <v>447</v>
      </c>
      <c r="B479" s="163"/>
      <c r="C479" s="163"/>
      <c r="D479" s="163"/>
      <c r="E479" s="163"/>
      <c r="F479" s="231"/>
      <c r="G479" s="164"/>
      <c r="H479" s="164"/>
      <c r="I479" s="164"/>
      <c r="J479" s="164"/>
      <c r="K479" s="164"/>
      <c r="L479" s="164"/>
      <c r="M479" s="164"/>
      <c r="N479" s="164"/>
      <c r="O479" s="164"/>
      <c r="P479" s="489"/>
      <c r="Q479" s="164"/>
      <c r="R479" s="164"/>
      <c r="S479" s="164"/>
      <c r="T479" s="164"/>
      <c r="U479" s="488"/>
      <c r="V479" s="488"/>
      <c r="W479" s="488"/>
      <c r="X479" s="488"/>
    </row>
    <row r="480" customFormat="false" ht="9.75" hidden="false" customHeight="true" outlineLevel="0" collapsed="false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</row>
    <row r="481" customFormat="false" ht="17.25" hidden="false" customHeight="true" outlineLevel="0" collapsed="false">
      <c r="A481" s="490" t="s">
        <v>448</v>
      </c>
      <c r="B481" s="490"/>
      <c r="C481" s="491" t="s">
        <v>21</v>
      </c>
      <c r="D481" s="492" t="s">
        <v>449</v>
      </c>
      <c r="E481" s="492"/>
      <c r="F481" s="492"/>
      <c r="G481" s="491" t="s">
        <v>450</v>
      </c>
      <c r="H481" s="491"/>
      <c r="I481" s="491" t="s">
        <v>451</v>
      </c>
      <c r="J481" s="493" t="s">
        <v>452</v>
      </c>
      <c r="K481" s="493"/>
      <c r="L481" s="491" t="s">
        <v>453</v>
      </c>
      <c r="M481" s="491"/>
      <c r="N481" s="491" t="s">
        <v>454</v>
      </c>
      <c r="O481" s="491"/>
      <c r="P481" s="491"/>
      <c r="Q481" s="491" t="s">
        <v>455</v>
      </c>
      <c r="R481" s="491"/>
      <c r="S481" s="491" t="s">
        <v>456</v>
      </c>
      <c r="T481" s="491"/>
      <c r="U481" s="494" t="s">
        <v>457</v>
      </c>
      <c r="V481" s="494"/>
      <c r="W481" s="494"/>
      <c r="X481" s="494"/>
    </row>
    <row r="482" customFormat="false" ht="30" hidden="false" customHeight="true" outlineLevel="0" collapsed="false">
      <c r="A482" s="172" t="s">
        <v>458</v>
      </c>
      <c r="B482" s="172"/>
      <c r="C482" s="495" t="s">
        <v>26</v>
      </c>
      <c r="D482" s="496" t="s">
        <v>459</v>
      </c>
      <c r="E482" s="496"/>
      <c r="F482" s="496"/>
      <c r="G482" s="497" t="s">
        <v>460</v>
      </c>
      <c r="H482" s="497"/>
      <c r="I482" s="146" t="s">
        <v>461</v>
      </c>
      <c r="J482" s="498"/>
      <c r="K482" s="498"/>
      <c r="L482" s="148"/>
      <c r="M482" s="148"/>
      <c r="N482" s="498"/>
      <c r="O482" s="498"/>
      <c r="P482" s="498"/>
      <c r="Q482" s="498"/>
      <c r="R482" s="498"/>
      <c r="S482" s="498"/>
      <c r="T482" s="498"/>
      <c r="U482" s="499"/>
      <c r="V482" s="499"/>
      <c r="W482" s="499"/>
      <c r="X482" s="499"/>
    </row>
    <row r="483" customFormat="false" ht="30" hidden="false" customHeight="true" outlineLevel="0" collapsed="false">
      <c r="A483" s="172" t="s">
        <v>462</v>
      </c>
      <c r="B483" s="172"/>
      <c r="C483" s="495" t="s">
        <v>26</v>
      </c>
      <c r="D483" s="496" t="s">
        <v>463</v>
      </c>
      <c r="E483" s="496"/>
      <c r="F483" s="496"/>
      <c r="G483" s="497" t="s">
        <v>464</v>
      </c>
      <c r="H483" s="497"/>
      <c r="I483" s="146" t="s">
        <v>465</v>
      </c>
      <c r="J483" s="498"/>
      <c r="K483" s="498"/>
      <c r="L483" s="148"/>
      <c r="M483" s="148"/>
      <c r="N483" s="498"/>
      <c r="O483" s="498"/>
      <c r="P483" s="498"/>
      <c r="Q483" s="498"/>
      <c r="R483" s="498"/>
      <c r="S483" s="498"/>
      <c r="T483" s="498"/>
      <c r="U483" s="499"/>
      <c r="V483" s="499"/>
      <c r="W483" s="499"/>
      <c r="X483" s="499"/>
    </row>
    <row r="484" customFormat="false" ht="30" hidden="false" customHeight="true" outlineLevel="0" collapsed="false">
      <c r="A484" s="172" t="s">
        <v>466</v>
      </c>
      <c r="B484" s="172"/>
      <c r="C484" s="495" t="s">
        <v>26</v>
      </c>
      <c r="D484" s="496" t="s">
        <v>467</v>
      </c>
      <c r="E484" s="496"/>
      <c r="F484" s="496"/>
      <c r="G484" s="497" t="s">
        <v>460</v>
      </c>
      <c r="H484" s="497"/>
      <c r="I484" s="146" t="s">
        <v>461</v>
      </c>
      <c r="J484" s="498"/>
      <c r="K484" s="498"/>
      <c r="L484" s="148"/>
      <c r="M484" s="148"/>
      <c r="N484" s="498"/>
      <c r="O484" s="498"/>
      <c r="P484" s="498"/>
      <c r="Q484" s="498"/>
      <c r="R484" s="498"/>
      <c r="S484" s="498"/>
      <c r="T484" s="498"/>
      <c r="U484" s="499"/>
      <c r="V484" s="499"/>
      <c r="W484" s="499"/>
      <c r="X484" s="499"/>
    </row>
    <row r="485" customFormat="false" ht="30" hidden="false" customHeight="true" outlineLevel="0" collapsed="false">
      <c r="A485" s="172" t="s">
        <v>468</v>
      </c>
      <c r="B485" s="172"/>
      <c r="C485" s="495" t="s">
        <v>26</v>
      </c>
      <c r="D485" s="496" t="s">
        <v>469</v>
      </c>
      <c r="E485" s="496"/>
      <c r="F485" s="496"/>
      <c r="G485" s="497" t="s">
        <v>470</v>
      </c>
      <c r="H485" s="497"/>
      <c r="I485" s="146" t="s">
        <v>461</v>
      </c>
      <c r="J485" s="498"/>
      <c r="K485" s="498"/>
      <c r="L485" s="148"/>
      <c r="M485" s="148"/>
      <c r="N485" s="205"/>
      <c r="O485" s="205"/>
      <c r="P485" s="205"/>
      <c r="Q485" s="205"/>
      <c r="R485" s="205"/>
      <c r="S485" s="205"/>
      <c r="T485" s="205"/>
      <c r="U485" s="500"/>
      <c r="V485" s="500"/>
      <c r="W485" s="500"/>
      <c r="X485" s="500"/>
    </row>
    <row r="486" customFormat="false" ht="30" hidden="false" customHeight="true" outlineLevel="0" collapsed="false">
      <c r="A486" s="172" t="s">
        <v>471</v>
      </c>
      <c r="B486" s="172"/>
      <c r="C486" s="495" t="s">
        <v>26</v>
      </c>
      <c r="D486" s="496" t="s">
        <v>472</v>
      </c>
      <c r="E486" s="496"/>
      <c r="F486" s="496"/>
      <c r="G486" s="497" t="s">
        <v>460</v>
      </c>
      <c r="H486" s="497"/>
      <c r="I486" s="146" t="s">
        <v>461</v>
      </c>
      <c r="J486" s="498"/>
      <c r="K486" s="498"/>
      <c r="L486" s="148"/>
      <c r="M486" s="148"/>
      <c r="N486" s="205"/>
      <c r="O486" s="205"/>
      <c r="P486" s="205"/>
      <c r="Q486" s="205"/>
      <c r="R486" s="205"/>
      <c r="S486" s="205"/>
      <c r="T486" s="205"/>
      <c r="U486" s="500"/>
      <c r="V486" s="500"/>
      <c r="W486" s="500"/>
      <c r="X486" s="500"/>
    </row>
    <row r="487" customFormat="false" ht="9.75" hidden="false" customHeight="true" outlineLevel="0" collapsed="false">
      <c r="A487" s="154"/>
      <c r="B487" s="154"/>
      <c r="C487" s="154"/>
      <c r="D487" s="154"/>
      <c r="E487" s="154"/>
      <c r="F487" s="501"/>
      <c r="G487" s="501"/>
      <c r="H487" s="501"/>
      <c r="I487" s="501"/>
      <c r="J487" s="501"/>
      <c r="K487" s="501"/>
      <c r="L487" s="501"/>
      <c r="M487" s="501"/>
      <c r="N487" s="501"/>
      <c r="O487" s="501"/>
      <c r="P487" s="154"/>
      <c r="Q487" s="154"/>
      <c r="R487" s="154"/>
      <c r="S487" s="154"/>
      <c r="T487" s="154"/>
      <c r="U487" s="154"/>
      <c r="V487" s="154"/>
      <c r="W487" s="154"/>
      <c r="X487" s="154"/>
    </row>
    <row r="488" customFormat="false" ht="30" hidden="false" customHeight="true" outlineLevel="0" collapsed="false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502" t="s">
        <v>473</v>
      </c>
      <c r="Q488" s="502"/>
      <c r="R488" s="502"/>
      <c r="S488" s="503" t="s">
        <v>78</v>
      </c>
      <c r="T488" s="503"/>
      <c r="U488" s="503"/>
      <c r="V488" s="503"/>
      <c r="W488" s="503"/>
      <c r="X488" s="503"/>
    </row>
    <row r="489" customFormat="false" ht="9.75" hidden="false" customHeight="true" outlineLevel="0" collapsed="false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</row>
    <row r="490" customFormat="false" ht="15" hidden="false" customHeight="true" outlineLevel="0" collapsed="false">
      <c r="A490" s="215" t="s">
        <v>474</v>
      </c>
      <c r="B490" s="216"/>
      <c r="C490" s="216"/>
      <c r="D490" s="216"/>
      <c r="E490" s="217"/>
      <c r="F490" s="218"/>
      <c r="G490" s="504"/>
      <c r="H490" s="504"/>
      <c r="I490" s="504"/>
      <c r="J490" s="504"/>
      <c r="K490" s="504"/>
      <c r="L490" s="504"/>
      <c r="M490" s="504"/>
      <c r="N490" s="504"/>
      <c r="O490" s="504"/>
      <c r="P490" s="504"/>
      <c r="Q490" s="504"/>
      <c r="R490" s="504"/>
      <c r="S490" s="504"/>
      <c r="T490" s="504"/>
      <c r="U490" s="504"/>
      <c r="V490" s="504"/>
      <c r="W490" s="504"/>
      <c r="X490" s="504"/>
    </row>
    <row r="491" customFormat="false" ht="17.25" hidden="false" customHeight="true" outlineLevel="0" collapsed="false">
      <c r="A491" s="157" t="s">
        <v>475</v>
      </c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</row>
    <row r="492" customFormat="false" ht="17.25" hidden="false" customHeight="true" outlineLevel="0" collapsed="false">
      <c r="A492" s="157" t="s">
        <v>476</v>
      </c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</row>
    <row r="493" customFormat="false" ht="17.25" hidden="false" customHeight="true" outlineLevel="0" collapsed="false">
      <c r="A493" s="157" t="s">
        <v>477</v>
      </c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</row>
    <row r="494" customFormat="false" ht="17.25" hidden="false" customHeight="true" outlineLevel="0" collapsed="false">
      <c r="A494" s="185"/>
      <c r="B494" s="327" t="s">
        <v>478</v>
      </c>
      <c r="C494" s="327"/>
      <c r="D494" s="327"/>
      <c r="E494" s="327"/>
      <c r="F494" s="327"/>
      <c r="G494" s="492" t="s">
        <v>479</v>
      </c>
      <c r="H494" s="492"/>
      <c r="I494" s="492"/>
      <c r="J494" s="492" t="s">
        <v>454</v>
      </c>
      <c r="K494" s="492"/>
      <c r="L494" s="492"/>
      <c r="M494" s="492" t="s">
        <v>456</v>
      </c>
      <c r="N494" s="492"/>
      <c r="O494" s="492"/>
      <c r="P494" s="492" t="s">
        <v>480</v>
      </c>
      <c r="Q494" s="492"/>
      <c r="R494" s="492"/>
      <c r="S494" s="492" t="s">
        <v>23</v>
      </c>
      <c r="T494" s="492"/>
      <c r="U494" s="492"/>
      <c r="V494" s="505" t="s">
        <v>481</v>
      </c>
      <c r="W494" s="505"/>
      <c r="X494" s="505"/>
    </row>
    <row r="495" customFormat="false" ht="30" hidden="false" customHeight="true" outlineLevel="0" collapsed="false">
      <c r="A495" s="185"/>
      <c r="B495" s="204"/>
      <c r="C495" s="204"/>
      <c r="D495" s="204"/>
      <c r="E495" s="204"/>
      <c r="F495" s="204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6"/>
      <c r="W495" s="206"/>
      <c r="X495" s="206"/>
    </row>
    <row r="496" customFormat="false" ht="30" hidden="false" customHeight="true" outlineLevel="0" collapsed="false">
      <c r="A496" s="185"/>
      <c r="B496" s="204"/>
      <c r="C496" s="204"/>
      <c r="D496" s="204"/>
      <c r="E496" s="204"/>
      <c r="F496" s="204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6"/>
      <c r="W496" s="206"/>
      <c r="X496" s="206"/>
    </row>
    <row r="497" customFormat="false" ht="30" hidden="false" customHeight="true" outlineLevel="0" collapsed="false">
      <c r="A497" s="185"/>
      <c r="B497" s="204"/>
      <c r="C497" s="204"/>
      <c r="D497" s="204"/>
      <c r="E497" s="204"/>
      <c r="F497" s="204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6"/>
      <c r="W497" s="206"/>
      <c r="X497" s="206"/>
    </row>
    <row r="498" customFormat="false" ht="30" hidden="false" customHeight="true" outlineLevel="0" collapsed="false">
      <c r="A498" s="185"/>
      <c r="B498" s="204"/>
      <c r="C498" s="204"/>
      <c r="D498" s="204"/>
      <c r="E498" s="204"/>
      <c r="F498" s="204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6"/>
      <c r="W498" s="206"/>
      <c r="X498" s="206"/>
    </row>
    <row r="499" customFormat="false" ht="30" hidden="false" customHeight="true" outlineLevel="0" collapsed="false">
      <c r="A499" s="185"/>
      <c r="B499" s="204"/>
      <c r="C499" s="204"/>
      <c r="D499" s="204"/>
      <c r="E499" s="204"/>
      <c r="F499" s="204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6"/>
      <c r="W499" s="206"/>
      <c r="X499" s="206"/>
    </row>
    <row r="500" customFormat="false" ht="30" hidden="false" customHeight="true" outlineLevel="0" collapsed="false">
      <c r="A500" s="185"/>
      <c r="B500" s="211"/>
      <c r="C500" s="211"/>
      <c r="D500" s="211"/>
      <c r="E500" s="211"/>
      <c r="F500" s="211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3"/>
      <c r="W500" s="213"/>
      <c r="X500" s="213"/>
    </row>
    <row r="501" customFormat="false" ht="17.25" hidden="false" customHeight="true" outlineLevel="0" collapsed="false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</row>
    <row r="502" customFormat="false" ht="18.75" hidden="false" customHeight="true" outlineLevel="0" collapsed="false">
      <c r="A502" s="124" t="s">
        <v>82</v>
      </c>
    </row>
    <row r="503" customFormat="false" ht="33.75" hidden="false" customHeight="true" outlineLevel="0" collapsed="false">
      <c r="A503" s="125" t="s">
        <v>482</v>
      </c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506" t="s">
        <v>483</v>
      </c>
      <c r="O503" s="506"/>
      <c r="P503" s="506"/>
      <c r="Q503" s="506"/>
      <c r="R503" s="506"/>
      <c r="S503" s="506"/>
      <c r="T503" s="506"/>
      <c r="U503" s="506"/>
      <c r="V503" s="506"/>
      <c r="W503" s="506"/>
      <c r="X503" s="506"/>
    </row>
    <row r="504" customFormat="false" ht="22.5" hidden="false" customHeight="true" outlineLevel="0" collapsed="false">
      <c r="A504" s="127" t="s">
        <v>85</v>
      </c>
      <c r="B504" s="127"/>
      <c r="C504" s="127"/>
      <c r="D504" s="127"/>
      <c r="E504" s="128" t="s">
        <v>2</v>
      </c>
      <c r="F504" s="128"/>
      <c r="G504" s="128"/>
      <c r="H504" s="128"/>
      <c r="I504" s="128"/>
      <c r="J504" s="128"/>
      <c r="K504" s="128"/>
      <c r="L504" s="129" t="s">
        <v>86</v>
      </c>
      <c r="M504" s="129"/>
      <c r="N504" s="129"/>
      <c r="O504" s="129"/>
      <c r="P504" s="129"/>
      <c r="Q504" s="130" t="s">
        <v>87</v>
      </c>
      <c r="R504" s="130"/>
      <c r="S504" s="130"/>
      <c r="T504" s="130"/>
      <c r="U504" s="130"/>
      <c r="V504" s="130"/>
      <c r="W504" s="130"/>
      <c r="X504" s="130"/>
    </row>
    <row r="505" customFormat="false" ht="22.5" hidden="false" customHeight="true" outlineLevel="0" collapsed="false">
      <c r="A505" s="131" t="s">
        <v>88</v>
      </c>
      <c r="B505" s="131"/>
      <c r="C505" s="131"/>
      <c r="D505" s="131"/>
      <c r="E505" s="132" t="s">
        <v>6</v>
      </c>
      <c r="F505" s="132"/>
      <c r="G505" s="132"/>
      <c r="H505" s="132"/>
      <c r="I505" s="132"/>
      <c r="J505" s="132"/>
      <c r="K505" s="132"/>
      <c r="L505" s="132" t="s">
        <v>89</v>
      </c>
      <c r="M505" s="132"/>
      <c r="N505" s="132"/>
      <c r="O505" s="132"/>
      <c r="P505" s="132"/>
      <c r="Q505" s="133" t="s">
        <v>90</v>
      </c>
      <c r="R505" s="133"/>
      <c r="S505" s="133"/>
      <c r="T505" s="134" t="s">
        <v>52</v>
      </c>
      <c r="U505" s="135" t="s">
        <v>91</v>
      </c>
      <c r="V505" s="135"/>
      <c r="W505" s="135"/>
      <c r="X505" s="136" t="s">
        <v>49</v>
      </c>
    </row>
    <row r="506" customFormat="false" ht="17.25" hidden="false" customHeight="true" outlineLevel="0" collapsed="false">
      <c r="A506" s="85"/>
      <c r="B506" s="157"/>
      <c r="C506" s="157"/>
      <c r="D506" s="157"/>
      <c r="E506" s="157"/>
      <c r="F506" s="137"/>
      <c r="G506" s="137"/>
      <c r="H506" s="137"/>
      <c r="I506" s="137"/>
      <c r="J506" s="137"/>
      <c r="K506" s="137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</row>
    <row r="507" customFormat="false" ht="15" hidden="false" customHeight="true" outlineLevel="0" collapsed="false">
      <c r="A507" s="507" t="s">
        <v>101</v>
      </c>
      <c r="B507" s="508"/>
      <c r="C507" s="508"/>
      <c r="D507" s="508"/>
      <c r="E507" s="509"/>
      <c r="F507" s="510"/>
      <c r="G507" s="137"/>
      <c r="H507" s="137"/>
      <c r="I507" s="137"/>
      <c r="J507" s="137"/>
      <c r="K507" s="137"/>
      <c r="L507" s="137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</row>
    <row r="508" customFormat="false" ht="39.75" hidden="false" customHeight="true" outlineLevel="0" collapsed="false">
      <c r="A508" s="143" t="s">
        <v>102</v>
      </c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4" t="s">
        <v>103</v>
      </c>
      <c r="Q508" s="144"/>
      <c r="R508" s="144"/>
      <c r="S508" s="144"/>
      <c r="T508" s="144" t="s">
        <v>104</v>
      </c>
      <c r="U508" s="144"/>
      <c r="V508" s="144"/>
      <c r="W508" s="144"/>
      <c r="X508" s="144"/>
    </row>
    <row r="509" customFormat="false" ht="61.5" hidden="false" customHeight="true" outlineLevel="0" collapsed="false">
      <c r="A509" s="511" t="s">
        <v>250</v>
      </c>
      <c r="B509" s="511"/>
      <c r="C509" s="511"/>
      <c r="D509" s="511"/>
      <c r="E509" s="511"/>
      <c r="F509" s="511"/>
      <c r="G509" s="511"/>
      <c r="H509" s="511"/>
      <c r="I509" s="511"/>
      <c r="J509" s="511"/>
      <c r="K509" s="511"/>
      <c r="L509" s="511"/>
      <c r="M509" s="511"/>
      <c r="N509" s="511"/>
      <c r="O509" s="511"/>
      <c r="P509" s="220" t="s">
        <v>110</v>
      </c>
      <c r="Q509" s="220"/>
      <c r="R509" s="220"/>
      <c r="S509" s="220"/>
      <c r="T509" s="147" t="s">
        <v>78</v>
      </c>
      <c r="U509" s="147"/>
      <c r="V509" s="147"/>
      <c r="W509" s="147"/>
      <c r="X509" s="147"/>
    </row>
    <row r="510" customFormat="false" ht="79.5" hidden="false" customHeight="true" outlineLevel="0" collapsed="false">
      <c r="A510" s="511" t="s">
        <v>484</v>
      </c>
      <c r="B510" s="511"/>
      <c r="C510" s="511"/>
      <c r="D510" s="511"/>
      <c r="E510" s="511"/>
      <c r="F510" s="511"/>
      <c r="G510" s="511"/>
      <c r="H510" s="511"/>
      <c r="I510" s="511"/>
      <c r="J510" s="511"/>
      <c r="K510" s="511"/>
      <c r="L510" s="511"/>
      <c r="M510" s="511"/>
      <c r="N510" s="511"/>
      <c r="O510" s="511"/>
      <c r="P510" s="220" t="s">
        <v>106</v>
      </c>
      <c r="Q510" s="220"/>
      <c r="R510" s="220"/>
      <c r="S510" s="220"/>
      <c r="T510" s="147" t="s">
        <v>78</v>
      </c>
      <c r="U510" s="147"/>
      <c r="V510" s="147"/>
      <c r="W510" s="147"/>
      <c r="X510" s="147"/>
    </row>
    <row r="511" customFormat="false" ht="15.75" hidden="false" customHeight="true" outlineLevel="0" collapsed="false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48" t="s">
        <v>111</v>
      </c>
      <c r="Q511" s="148"/>
      <c r="R511" s="148"/>
      <c r="S511" s="148"/>
      <c r="T511" s="147" t="s">
        <v>78</v>
      </c>
      <c r="U511" s="147"/>
      <c r="V511" s="147"/>
      <c r="W511" s="147"/>
      <c r="X511" s="147"/>
    </row>
    <row r="512" customFormat="false" ht="15" hidden="false" customHeight="true" outlineLevel="0" collapsed="false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49"/>
      <c r="U512" s="149"/>
      <c r="V512" s="149"/>
      <c r="W512" s="149"/>
      <c r="X512" s="149"/>
    </row>
    <row r="513" customFormat="false" ht="15" hidden="false" customHeight="true" outlineLevel="0" collapsed="false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49"/>
      <c r="U513" s="149"/>
      <c r="V513" s="149"/>
      <c r="W513" s="149"/>
      <c r="X513" s="149"/>
    </row>
    <row r="514" customFormat="false" ht="15.75" hidden="false" customHeight="true" outlineLevel="0" collapsed="false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49"/>
      <c r="U514" s="149"/>
      <c r="V514" s="149"/>
      <c r="W514" s="149"/>
      <c r="X514" s="149"/>
    </row>
    <row r="515" customFormat="false" ht="20.25" hidden="false" customHeight="true" outlineLevel="0" collapsed="false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49"/>
      <c r="U515" s="149"/>
      <c r="V515" s="149"/>
      <c r="W515" s="149"/>
      <c r="X515" s="149"/>
    </row>
    <row r="516" customFormat="false" ht="19.5" hidden="false" customHeight="true" outlineLevel="0" collapsed="false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49"/>
      <c r="U516" s="149"/>
      <c r="V516" s="149"/>
      <c r="W516" s="149"/>
      <c r="X516" s="149"/>
    </row>
    <row r="517" customFormat="false" ht="19.5" hidden="false" customHeight="true" outlineLevel="0" collapsed="false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49"/>
      <c r="U517" s="149"/>
      <c r="V517" s="149"/>
      <c r="W517" s="149"/>
      <c r="X517" s="149"/>
    </row>
    <row r="518" customFormat="false" ht="13.5" hidden="false" customHeight="true" outlineLevel="0" collapsed="false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49"/>
      <c r="U518" s="149"/>
      <c r="V518" s="149"/>
      <c r="W518" s="149"/>
      <c r="X518" s="149"/>
    </row>
    <row r="519" customFormat="false" ht="19.5" hidden="false" customHeight="true" outlineLevel="0" collapsed="false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49"/>
      <c r="U519" s="149"/>
      <c r="V519" s="149"/>
      <c r="W519" s="149"/>
      <c r="X519" s="149"/>
    </row>
    <row r="520" customFormat="false" ht="13.5" hidden="false" customHeight="true" outlineLevel="0" collapsed="false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49"/>
      <c r="U520" s="149"/>
      <c r="V520" s="149"/>
      <c r="W520" s="149"/>
      <c r="X520" s="149"/>
    </row>
    <row r="521" customFormat="false" ht="18.75" hidden="false" customHeight="true" outlineLevel="0" collapsed="false">
      <c r="A521" s="124" t="s">
        <v>82</v>
      </c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</row>
    <row r="522" customFormat="false" ht="33.75" hidden="false" customHeight="true" outlineLevel="0" collapsed="false">
      <c r="A522" s="125" t="s">
        <v>485</v>
      </c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506" t="s">
        <v>483</v>
      </c>
      <c r="O522" s="506"/>
      <c r="P522" s="506"/>
      <c r="Q522" s="506"/>
      <c r="R522" s="506"/>
      <c r="S522" s="506"/>
      <c r="T522" s="506"/>
      <c r="U522" s="506"/>
      <c r="V522" s="506"/>
      <c r="W522" s="506"/>
      <c r="X522" s="506"/>
    </row>
    <row r="523" customFormat="false" ht="22.5" hidden="false" customHeight="true" outlineLevel="0" collapsed="false">
      <c r="A523" s="127" t="s">
        <v>85</v>
      </c>
      <c r="B523" s="127"/>
      <c r="C523" s="127"/>
      <c r="D523" s="127"/>
      <c r="E523" s="128" t="s">
        <v>2</v>
      </c>
      <c r="F523" s="128"/>
      <c r="G523" s="128"/>
      <c r="H523" s="128"/>
      <c r="I523" s="128"/>
      <c r="J523" s="128"/>
      <c r="K523" s="128"/>
      <c r="L523" s="129" t="s">
        <v>86</v>
      </c>
      <c r="M523" s="129"/>
      <c r="N523" s="129"/>
      <c r="O523" s="129"/>
      <c r="P523" s="129"/>
      <c r="Q523" s="130" t="s">
        <v>87</v>
      </c>
      <c r="R523" s="130"/>
      <c r="S523" s="130"/>
      <c r="T523" s="130"/>
      <c r="U523" s="130"/>
      <c r="V523" s="130"/>
      <c r="W523" s="130"/>
      <c r="X523" s="130"/>
    </row>
    <row r="524" customFormat="false" ht="22.5" hidden="false" customHeight="true" outlineLevel="0" collapsed="false">
      <c r="A524" s="131" t="s">
        <v>88</v>
      </c>
      <c r="B524" s="131"/>
      <c r="C524" s="131"/>
      <c r="D524" s="131"/>
      <c r="E524" s="132" t="s">
        <v>6</v>
      </c>
      <c r="F524" s="132"/>
      <c r="G524" s="132"/>
      <c r="H524" s="132"/>
      <c r="I524" s="132"/>
      <c r="J524" s="132"/>
      <c r="K524" s="132"/>
      <c r="L524" s="132" t="s">
        <v>89</v>
      </c>
      <c r="M524" s="132"/>
      <c r="N524" s="132"/>
      <c r="O524" s="132"/>
      <c r="P524" s="132"/>
      <c r="Q524" s="133" t="s">
        <v>90</v>
      </c>
      <c r="R524" s="133"/>
      <c r="S524" s="133"/>
      <c r="T524" s="134" t="s">
        <v>52</v>
      </c>
      <c r="U524" s="135" t="s">
        <v>91</v>
      </c>
      <c r="V524" s="135"/>
      <c r="W524" s="135"/>
      <c r="X524" s="136" t="s">
        <v>49</v>
      </c>
    </row>
    <row r="525" customFormat="false" ht="18" hidden="false" customHeight="true" outlineLevel="0" collapsed="false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</row>
    <row r="526" customFormat="false" ht="15" hidden="false" customHeight="true" outlineLevel="0" collapsed="false">
      <c r="A526" s="151" t="s">
        <v>113</v>
      </c>
      <c r="B526" s="152"/>
      <c r="C526" s="152"/>
      <c r="D526" s="152"/>
      <c r="E526" s="153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512"/>
      <c r="U526" s="155" t="s">
        <v>114</v>
      </c>
      <c r="V526" s="155"/>
      <c r="W526" s="155"/>
      <c r="X526" s="155"/>
    </row>
    <row r="527" customFormat="false" ht="15" hidden="false" customHeight="true" outlineLevel="0" collapsed="false">
      <c r="A527" s="227" t="s">
        <v>254</v>
      </c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58"/>
      <c r="M527" s="137"/>
      <c r="N527" s="228"/>
      <c r="O527" s="228"/>
      <c r="P527" s="137"/>
      <c r="Q527" s="158"/>
      <c r="R527" s="159" t="s">
        <v>116</v>
      </c>
      <c r="S527" s="158"/>
      <c r="T527" s="335"/>
      <c r="U527" s="229"/>
      <c r="V527" s="229"/>
      <c r="W527" s="229"/>
      <c r="X527" s="229"/>
    </row>
    <row r="528" customFormat="false" ht="15" hidden="false" customHeight="true" outlineLevel="0" collapsed="false">
      <c r="A528" s="227" t="s">
        <v>255</v>
      </c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58"/>
      <c r="M528" s="137"/>
      <c r="N528" s="228"/>
      <c r="O528" s="228"/>
      <c r="P528" s="137"/>
      <c r="Q528" s="158"/>
      <c r="R528" s="159" t="s">
        <v>116</v>
      </c>
      <c r="S528" s="158"/>
      <c r="T528" s="335"/>
      <c r="U528" s="229"/>
      <c r="V528" s="229"/>
      <c r="W528" s="229"/>
      <c r="X528" s="229"/>
    </row>
    <row r="529" customFormat="false" ht="15" hidden="false" customHeight="true" outlineLevel="0" collapsed="false">
      <c r="A529" s="230" t="s">
        <v>486</v>
      </c>
      <c r="B529" s="163"/>
      <c r="C529" s="163"/>
      <c r="D529" s="163"/>
      <c r="E529" s="163"/>
      <c r="F529" s="164"/>
      <c r="G529" s="164"/>
      <c r="H529" s="164"/>
      <c r="I529" s="164"/>
      <c r="J529" s="164"/>
      <c r="K529" s="164"/>
      <c r="L529" s="165"/>
      <c r="M529" s="164"/>
      <c r="N529" s="231"/>
      <c r="O529" s="231"/>
      <c r="P529" s="164"/>
      <c r="Q529" s="165"/>
      <c r="R529" s="166" t="s">
        <v>116</v>
      </c>
      <c r="S529" s="165"/>
      <c r="T529" s="336"/>
      <c r="U529" s="229"/>
      <c r="V529" s="229"/>
      <c r="W529" s="229"/>
      <c r="X529" s="229"/>
    </row>
    <row r="530" customFormat="false" ht="15" hidden="false" customHeight="true" outlineLevel="0" collapsed="false">
      <c r="A530" s="513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229"/>
      <c r="V530" s="229"/>
      <c r="W530" s="229"/>
      <c r="X530" s="229"/>
    </row>
    <row r="531" customFormat="false" ht="15" hidden="false" customHeight="true" outlineLevel="0" collapsed="false">
      <c r="A531" s="151" t="s">
        <v>487</v>
      </c>
      <c r="B531" s="152"/>
      <c r="C531" s="152"/>
      <c r="D531" s="152"/>
      <c r="E531" s="514"/>
      <c r="F531" s="514"/>
      <c r="G531" s="514"/>
      <c r="H531" s="154"/>
      <c r="I531" s="514"/>
      <c r="J531" s="514"/>
      <c r="K531" s="514"/>
      <c r="L531" s="514"/>
      <c r="M531" s="514"/>
      <c r="N531" s="514"/>
      <c r="O531" s="514"/>
      <c r="P531" s="514"/>
      <c r="Q531" s="514"/>
      <c r="R531" s="514"/>
      <c r="S531" s="514"/>
      <c r="T531" s="515"/>
      <c r="U531" s="229"/>
      <c r="V531" s="229"/>
      <c r="W531" s="229"/>
      <c r="X531" s="229"/>
    </row>
    <row r="532" customFormat="false" ht="15" hidden="false" customHeight="true" outlineLevel="0" collapsed="false">
      <c r="A532" s="227" t="s">
        <v>488</v>
      </c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159" t="s">
        <v>116</v>
      </c>
      <c r="S532" s="158"/>
      <c r="T532" s="516"/>
      <c r="U532" s="229"/>
      <c r="V532" s="229"/>
      <c r="W532" s="229"/>
      <c r="X532" s="229"/>
    </row>
    <row r="533" customFormat="false" ht="15" hidden="false" customHeight="true" outlineLevel="0" collapsed="false">
      <c r="A533" s="227" t="s">
        <v>489</v>
      </c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159" t="s">
        <v>116</v>
      </c>
      <c r="S533" s="158"/>
      <c r="T533" s="516"/>
      <c r="U533" s="229"/>
      <c r="V533" s="229"/>
      <c r="W533" s="229"/>
      <c r="X533" s="229"/>
    </row>
    <row r="534" customFormat="false" ht="15" hidden="false" customHeight="true" outlineLevel="0" collapsed="false">
      <c r="A534" s="227" t="s">
        <v>490</v>
      </c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159" t="s">
        <v>116</v>
      </c>
      <c r="S534" s="158"/>
      <c r="T534" s="516"/>
      <c r="U534" s="517" t="s">
        <v>491</v>
      </c>
      <c r="V534" s="517"/>
      <c r="W534" s="517"/>
      <c r="X534" s="517"/>
    </row>
    <row r="535" customFormat="false" ht="15" hidden="false" customHeight="true" outlineLevel="0" collapsed="false">
      <c r="A535" s="230" t="s">
        <v>492</v>
      </c>
      <c r="B535" s="489"/>
      <c r="C535" s="489"/>
      <c r="D535" s="489"/>
      <c r="E535" s="489"/>
      <c r="F535" s="489"/>
      <c r="G535" s="489"/>
      <c r="H535" s="489"/>
      <c r="I535" s="489"/>
      <c r="J535" s="489"/>
      <c r="K535" s="489"/>
      <c r="L535" s="489"/>
      <c r="M535" s="489"/>
      <c r="N535" s="489"/>
      <c r="O535" s="489"/>
      <c r="P535" s="489"/>
      <c r="Q535" s="489"/>
      <c r="R535" s="166" t="s">
        <v>116</v>
      </c>
      <c r="S535" s="165"/>
      <c r="T535" s="518"/>
      <c r="U535" s="517"/>
      <c r="V535" s="517"/>
      <c r="W535" s="517"/>
      <c r="X535" s="517"/>
    </row>
    <row r="536" customFormat="false" ht="15" hidden="false" customHeight="true" outlineLevel="0" collapsed="false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</row>
    <row r="537" customFormat="false" ht="15" hidden="false" customHeight="true" outlineLevel="0" collapsed="false">
      <c r="A537" s="215" t="s">
        <v>493</v>
      </c>
      <c r="B537" s="519"/>
      <c r="C537" s="519"/>
      <c r="D537" s="218"/>
      <c r="E537" s="218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</row>
    <row r="538" customFormat="false" ht="17.25" hidden="false" customHeight="true" outlineLevel="0" collapsed="false">
      <c r="A538" s="259" t="s">
        <v>494</v>
      </c>
      <c r="B538" s="225"/>
      <c r="C538" s="225"/>
      <c r="D538" s="225"/>
      <c r="E538" s="225"/>
      <c r="F538" s="225"/>
      <c r="G538" s="225"/>
      <c r="H538" s="225"/>
      <c r="I538" s="158"/>
      <c r="J538" s="225"/>
      <c r="K538" s="225"/>
      <c r="L538" s="225"/>
      <c r="M538" s="158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</row>
    <row r="539" customFormat="false" ht="17.25" hidden="false" customHeight="true" outlineLevel="0" collapsed="false">
      <c r="A539" s="285" t="s">
        <v>495</v>
      </c>
      <c r="B539" s="225"/>
      <c r="C539" s="225"/>
      <c r="D539" s="225"/>
      <c r="E539" s="225"/>
      <c r="F539" s="225"/>
      <c r="G539" s="225"/>
      <c r="H539" s="225"/>
      <c r="I539" s="225"/>
      <c r="J539" s="225"/>
      <c r="K539" s="225"/>
      <c r="L539" s="225"/>
      <c r="M539" s="158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</row>
    <row r="540" customFormat="false" ht="15" hidden="false" customHeight="true" outlineLevel="0" collapsed="false">
      <c r="A540" s="492" t="s">
        <v>496</v>
      </c>
      <c r="B540" s="492"/>
      <c r="C540" s="492"/>
      <c r="D540" s="492"/>
      <c r="E540" s="492"/>
      <c r="F540" s="492"/>
      <c r="G540" s="492"/>
      <c r="H540" s="492"/>
      <c r="I540" s="492"/>
      <c r="J540" s="492"/>
      <c r="K540" s="492"/>
      <c r="L540" s="492"/>
      <c r="M540" s="275" t="s">
        <v>497</v>
      </c>
      <c r="N540" s="275"/>
      <c r="O540" s="275"/>
      <c r="P540" s="275"/>
      <c r="Q540" s="275"/>
      <c r="R540" s="275"/>
      <c r="S540" s="275"/>
      <c r="T540" s="275"/>
      <c r="U540" s="241" t="s">
        <v>114</v>
      </c>
      <c r="V540" s="241"/>
      <c r="W540" s="241"/>
      <c r="X540" s="241"/>
    </row>
    <row r="541" customFormat="false" ht="15" hidden="false" customHeight="true" outlineLevel="0" collapsed="false">
      <c r="A541" s="520" t="s">
        <v>498</v>
      </c>
      <c r="B541" s="520"/>
      <c r="C541" s="520"/>
      <c r="D541" s="520"/>
      <c r="E541" s="521" t="s">
        <v>499</v>
      </c>
      <c r="F541" s="521"/>
      <c r="G541" s="521"/>
      <c r="H541" s="521"/>
      <c r="I541" s="521" t="s">
        <v>500</v>
      </c>
      <c r="J541" s="521"/>
      <c r="K541" s="521"/>
      <c r="L541" s="521"/>
      <c r="M541" s="521" t="s">
        <v>5</v>
      </c>
      <c r="N541" s="521"/>
      <c r="O541" s="521"/>
      <c r="P541" s="521"/>
      <c r="Q541" s="521" t="s">
        <v>501</v>
      </c>
      <c r="R541" s="521"/>
      <c r="S541" s="521"/>
      <c r="T541" s="521"/>
      <c r="U541" s="213"/>
      <c r="V541" s="213"/>
      <c r="W541" s="213"/>
      <c r="X541" s="213"/>
    </row>
    <row r="542" customFormat="false" ht="38.25" hidden="false" customHeight="true" outlineLevel="0" collapsed="false">
      <c r="A542" s="522"/>
      <c r="B542" s="522"/>
      <c r="C542" s="522"/>
      <c r="D542" s="522"/>
      <c r="E542" s="523"/>
      <c r="F542" s="523"/>
      <c r="G542" s="523"/>
      <c r="H542" s="523"/>
      <c r="I542" s="523"/>
      <c r="J542" s="523"/>
      <c r="K542" s="523"/>
      <c r="L542" s="523"/>
      <c r="M542" s="524"/>
      <c r="N542" s="524"/>
      <c r="O542" s="524"/>
      <c r="P542" s="524"/>
      <c r="Q542" s="212"/>
      <c r="R542" s="212"/>
      <c r="S542" s="212"/>
      <c r="T542" s="212"/>
      <c r="U542" s="213"/>
      <c r="V542" s="213"/>
      <c r="W542" s="213"/>
      <c r="X542" s="213"/>
    </row>
    <row r="543" customFormat="false" ht="6.75" hidden="false" customHeight="true" outlineLevel="0" collapsed="false">
      <c r="A543" s="314"/>
      <c r="B543" s="525"/>
      <c r="C543" s="525"/>
      <c r="D543" s="525"/>
      <c r="E543" s="525"/>
      <c r="F543" s="525"/>
      <c r="G543" s="525"/>
      <c r="H543" s="525"/>
      <c r="I543" s="525"/>
      <c r="J543" s="525"/>
      <c r="K543" s="525"/>
      <c r="L543" s="525"/>
      <c r="M543" s="525"/>
      <c r="N543" s="525"/>
      <c r="O543" s="525"/>
      <c r="P543" s="525"/>
      <c r="Q543" s="314"/>
      <c r="R543" s="314"/>
      <c r="S543" s="314"/>
      <c r="T543" s="314"/>
      <c r="U543" s="314"/>
      <c r="V543" s="314"/>
      <c r="W543" s="314"/>
      <c r="X543" s="314"/>
    </row>
    <row r="544" customFormat="false" ht="17.25" hidden="false" customHeight="true" outlineLevel="0" collapsed="false">
      <c r="A544" s="291" t="s">
        <v>502</v>
      </c>
      <c r="B544" s="314"/>
      <c r="C544" s="314"/>
      <c r="D544" s="314"/>
      <c r="E544" s="314"/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</row>
    <row r="545" customFormat="false" ht="4.5" hidden="false" customHeight="true" outlineLevel="0" collapsed="false">
      <c r="A545" s="526"/>
      <c r="B545" s="526"/>
      <c r="C545" s="526"/>
      <c r="D545" s="526"/>
      <c r="E545" s="526"/>
      <c r="F545" s="526"/>
      <c r="G545" s="526"/>
      <c r="H545" s="526"/>
      <c r="I545" s="526"/>
      <c r="J545" s="526"/>
      <c r="K545" s="526"/>
      <c r="L545" s="526"/>
      <c r="M545" s="526"/>
      <c r="N545" s="526"/>
      <c r="O545" s="526"/>
      <c r="P545" s="526"/>
      <c r="Q545" s="526"/>
      <c r="R545" s="526"/>
      <c r="S545" s="526"/>
      <c r="T545" s="526"/>
      <c r="U545" s="526"/>
      <c r="V545" s="526"/>
      <c r="W545" s="526"/>
      <c r="X545" s="526"/>
    </row>
    <row r="546" customFormat="false" ht="15" hidden="false" customHeight="true" outlineLevel="0" collapsed="false">
      <c r="A546" s="527"/>
      <c r="B546" s="528"/>
      <c r="C546" s="528"/>
      <c r="D546" s="528"/>
      <c r="E546" s="528"/>
      <c r="F546" s="528"/>
      <c r="G546" s="528"/>
      <c r="H546" s="528"/>
      <c r="I546" s="528"/>
      <c r="J546" s="528"/>
      <c r="K546" s="528"/>
      <c r="L546" s="528"/>
      <c r="M546" s="528"/>
      <c r="N546" s="529"/>
      <c r="O546" s="528"/>
      <c r="P546" s="528"/>
      <c r="Q546" s="528"/>
      <c r="R546" s="528"/>
      <c r="S546" s="528"/>
      <c r="T546" s="528"/>
      <c r="U546" s="528"/>
      <c r="V546" s="528"/>
      <c r="W546" s="528"/>
      <c r="X546" s="528"/>
    </row>
    <row r="547" customFormat="false" ht="18.75" hidden="false" customHeight="true" outlineLevel="0" collapsed="false">
      <c r="A547" s="124" t="s">
        <v>82</v>
      </c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</row>
    <row r="548" customFormat="false" ht="33.75" hidden="false" customHeight="true" outlineLevel="0" collapsed="false">
      <c r="A548" s="125" t="s">
        <v>503</v>
      </c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506" t="s">
        <v>483</v>
      </c>
      <c r="O548" s="506"/>
      <c r="P548" s="506"/>
      <c r="Q548" s="506"/>
      <c r="R548" s="506"/>
      <c r="S548" s="506"/>
      <c r="T548" s="506"/>
      <c r="U548" s="506"/>
      <c r="V548" s="506"/>
      <c r="W548" s="506"/>
      <c r="X548" s="506"/>
    </row>
    <row r="549" customFormat="false" ht="22.5" hidden="false" customHeight="true" outlineLevel="0" collapsed="false">
      <c r="A549" s="127" t="s">
        <v>85</v>
      </c>
      <c r="B549" s="127"/>
      <c r="C549" s="127"/>
      <c r="D549" s="127"/>
      <c r="E549" s="128" t="s">
        <v>2</v>
      </c>
      <c r="F549" s="128"/>
      <c r="G549" s="128"/>
      <c r="H549" s="128"/>
      <c r="I549" s="128"/>
      <c r="J549" s="128"/>
      <c r="K549" s="128"/>
      <c r="L549" s="129" t="s">
        <v>86</v>
      </c>
      <c r="M549" s="129"/>
      <c r="N549" s="129"/>
      <c r="O549" s="129"/>
      <c r="P549" s="129"/>
      <c r="Q549" s="130" t="s">
        <v>87</v>
      </c>
      <c r="R549" s="130"/>
      <c r="S549" s="130"/>
      <c r="T549" s="130"/>
      <c r="U549" s="130"/>
      <c r="V549" s="130"/>
      <c r="W549" s="130"/>
      <c r="X549" s="130"/>
    </row>
    <row r="550" customFormat="false" ht="22.5" hidden="false" customHeight="true" outlineLevel="0" collapsed="false">
      <c r="A550" s="131" t="s">
        <v>88</v>
      </c>
      <c r="B550" s="131"/>
      <c r="C550" s="131"/>
      <c r="D550" s="131"/>
      <c r="E550" s="132" t="s">
        <v>6</v>
      </c>
      <c r="F550" s="132"/>
      <c r="G550" s="132"/>
      <c r="H550" s="132"/>
      <c r="I550" s="132"/>
      <c r="J550" s="132"/>
      <c r="K550" s="132"/>
      <c r="L550" s="132" t="s">
        <v>89</v>
      </c>
      <c r="M550" s="132"/>
      <c r="N550" s="132"/>
      <c r="O550" s="132"/>
      <c r="P550" s="132"/>
      <c r="Q550" s="133" t="s">
        <v>90</v>
      </c>
      <c r="R550" s="133"/>
      <c r="S550" s="133"/>
      <c r="T550" s="134" t="s">
        <v>52</v>
      </c>
      <c r="U550" s="135" t="s">
        <v>91</v>
      </c>
      <c r="V550" s="135"/>
      <c r="W550" s="135"/>
      <c r="X550" s="136" t="s">
        <v>49</v>
      </c>
    </row>
    <row r="551" customFormat="false" ht="15" hidden="false" customHeight="true" outlineLevel="0" collapsed="false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3"/>
      <c r="R551" s="224"/>
      <c r="S551" s="224"/>
      <c r="T551" s="225"/>
      <c r="U551" s="530"/>
      <c r="V551" s="530"/>
      <c r="W551" s="530"/>
      <c r="X551" s="225"/>
    </row>
    <row r="552" customFormat="false" ht="15" hidden="false" customHeight="true" outlineLevel="0" collapsed="false">
      <c r="A552" s="215" t="s">
        <v>504</v>
      </c>
      <c r="B552" s="216"/>
      <c r="C552" s="216"/>
      <c r="D552" s="217"/>
      <c r="E552" s="217"/>
      <c r="F552" s="218"/>
      <c r="G552" s="218"/>
      <c r="H552" s="218"/>
      <c r="I552" s="218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</row>
    <row r="553" customFormat="false" ht="21.75" hidden="false" customHeight="true" outlineLevel="0" collapsed="false">
      <c r="A553" s="385" t="s">
        <v>505</v>
      </c>
      <c r="B553" s="434"/>
      <c r="C553" s="434"/>
      <c r="D553" s="434"/>
      <c r="E553" s="434"/>
      <c r="F553" s="434"/>
      <c r="G553" s="434"/>
      <c r="H553" s="434"/>
      <c r="I553" s="434"/>
      <c r="J553" s="434"/>
      <c r="K553" s="434"/>
      <c r="L553" s="531" t="s">
        <v>269</v>
      </c>
      <c r="M553" s="532"/>
      <c r="N553" s="532"/>
      <c r="O553" s="532"/>
      <c r="P553" s="533" t="s">
        <v>426</v>
      </c>
      <c r="Q553" s="531"/>
      <c r="R553" s="531"/>
      <c r="S553" s="531"/>
      <c r="T553" s="531"/>
      <c r="U553" s="531"/>
      <c r="V553" s="531"/>
    </row>
    <row r="554" customFormat="false" ht="21.75" hidden="false" customHeight="true" outlineLevel="0" collapsed="false">
      <c r="A554" s="385" t="s">
        <v>506</v>
      </c>
      <c r="B554" s="434"/>
      <c r="C554" s="434"/>
      <c r="D554" s="434"/>
      <c r="E554" s="434"/>
      <c r="F554" s="434"/>
      <c r="G554" s="434"/>
      <c r="H554" s="434"/>
      <c r="I554" s="434"/>
      <c r="J554" s="434"/>
      <c r="K554" s="434"/>
      <c r="L554" s="531" t="s">
        <v>269</v>
      </c>
      <c r="M554" s="534"/>
      <c r="N554" s="534"/>
      <c r="O554" s="534"/>
      <c r="P554" s="533" t="s">
        <v>507</v>
      </c>
      <c r="Q554" s="535" t="s">
        <v>508</v>
      </c>
      <c r="R554" s="535"/>
      <c r="S554" s="535"/>
      <c r="T554" s="535"/>
      <c r="U554" s="535"/>
      <c r="V554" s="535"/>
      <c r="W554" s="535"/>
      <c r="X554" s="535"/>
    </row>
    <row r="555" customFormat="false" ht="21.75" hidden="false" customHeight="true" outlineLevel="0" collapsed="false">
      <c r="A555" s="385" t="s">
        <v>271</v>
      </c>
      <c r="B555" s="294"/>
      <c r="C555" s="294"/>
      <c r="D555" s="294"/>
      <c r="E555" s="294"/>
      <c r="F555" s="294"/>
      <c r="G555" s="294"/>
      <c r="H555" s="294"/>
      <c r="I555" s="294"/>
      <c r="J555" s="294"/>
      <c r="K555" s="294"/>
      <c r="L555" s="440" t="s">
        <v>23</v>
      </c>
      <c r="M555" s="440"/>
      <c r="N555" s="441"/>
      <c r="O555" s="441"/>
      <c r="P555" s="441"/>
      <c r="Q555" s="442" t="s">
        <v>272</v>
      </c>
      <c r="R555" s="442"/>
      <c r="S555" s="443"/>
      <c r="T555" s="443"/>
      <c r="U555" s="443"/>
      <c r="V555" s="443"/>
    </row>
    <row r="556" customFormat="false" ht="15" hidden="false" customHeight="true" outlineLevel="0" collapsed="false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</row>
    <row r="557" customFormat="false" ht="15" hidden="false" customHeight="true" outlineLevel="0" collapsed="false">
      <c r="A557" s="215" t="s">
        <v>310</v>
      </c>
      <c r="B557" s="269"/>
      <c r="C557" s="269"/>
      <c r="D557" s="269"/>
      <c r="E557" s="269"/>
      <c r="F557" s="269"/>
      <c r="G557" s="269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</row>
    <row r="558" customFormat="false" ht="15" hidden="false" customHeight="true" outlineLevel="0" collapsed="false">
      <c r="A558" s="285" t="s">
        <v>509</v>
      </c>
      <c r="B558" s="536"/>
      <c r="C558" s="536"/>
      <c r="D558" s="536"/>
      <c r="E558" s="536"/>
      <c r="F558" s="536"/>
      <c r="G558" s="536"/>
      <c r="H558" s="536"/>
      <c r="I558" s="536"/>
      <c r="J558" s="536"/>
      <c r="K558" s="536"/>
      <c r="L558" s="536"/>
      <c r="M558" s="536"/>
      <c r="N558" s="536"/>
      <c r="O558" s="149"/>
      <c r="P558" s="149"/>
      <c r="Q558" s="264"/>
      <c r="R558" s="537" t="s">
        <v>312</v>
      </c>
      <c r="S558" s="537"/>
      <c r="T558" s="537"/>
      <c r="U558" s="275" t="s">
        <v>22</v>
      </c>
      <c r="V558" s="275"/>
      <c r="W558" s="538" t="s">
        <v>23</v>
      </c>
      <c r="X558" s="538"/>
    </row>
    <row r="559" customFormat="false" ht="30" hidden="false" customHeight="true" outlineLevel="0" collapsed="false">
      <c r="A559" s="225"/>
      <c r="B559" s="539" t="s">
        <v>510</v>
      </c>
      <c r="C559" s="539"/>
      <c r="D559" s="539"/>
      <c r="E559" s="539"/>
      <c r="F559" s="539"/>
      <c r="G559" s="540"/>
      <c r="H559" s="540"/>
      <c r="I559" s="540"/>
      <c r="J559" s="540"/>
      <c r="K559" s="540"/>
      <c r="L559" s="540"/>
      <c r="M559" s="540"/>
      <c r="N559" s="541" t="s">
        <v>511</v>
      </c>
      <c r="O559" s="541"/>
      <c r="P559" s="541"/>
      <c r="Q559" s="541"/>
      <c r="R559" s="542"/>
      <c r="S559" s="542"/>
      <c r="T559" s="542"/>
      <c r="U559" s="543"/>
      <c r="V559" s="543"/>
      <c r="W559" s="544"/>
      <c r="X559" s="544"/>
    </row>
    <row r="560" customFormat="false" ht="30" hidden="false" customHeight="true" outlineLevel="0" collapsed="false">
      <c r="A560" s="225"/>
      <c r="B560" s="545" t="s">
        <v>512</v>
      </c>
      <c r="C560" s="545"/>
      <c r="D560" s="545"/>
      <c r="E560" s="545"/>
      <c r="F560" s="545"/>
      <c r="G560" s="205"/>
      <c r="H560" s="205"/>
      <c r="I560" s="205"/>
      <c r="J560" s="205"/>
      <c r="K560" s="205"/>
      <c r="L560" s="205"/>
      <c r="M560" s="205"/>
      <c r="N560" s="546" t="s">
        <v>441</v>
      </c>
      <c r="O560" s="546"/>
      <c r="P560" s="546"/>
      <c r="Q560" s="546"/>
      <c r="R560" s="542"/>
      <c r="S560" s="542"/>
      <c r="T560" s="542"/>
      <c r="U560" s="543"/>
      <c r="V560" s="543"/>
      <c r="W560" s="544"/>
      <c r="X560" s="544"/>
    </row>
    <row r="561" customFormat="false" ht="30" hidden="false" customHeight="true" outlineLevel="0" collapsed="false">
      <c r="A561" s="225"/>
      <c r="B561" s="547" t="s">
        <v>315</v>
      </c>
      <c r="C561" s="547"/>
      <c r="D561" s="548" t="s">
        <v>513</v>
      </c>
      <c r="E561" s="548"/>
      <c r="F561" s="548"/>
      <c r="G561" s="205"/>
      <c r="H561" s="205"/>
      <c r="I561" s="205"/>
      <c r="J561" s="205"/>
      <c r="K561" s="205"/>
      <c r="L561" s="205"/>
      <c r="M561" s="205"/>
      <c r="N561" s="546" t="s">
        <v>443</v>
      </c>
      <c r="O561" s="546"/>
      <c r="P561" s="546"/>
      <c r="Q561" s="546"/>
      <c r="R561" s="542"/>
      <c r="S561" s="542"/>
      <c r="T561" s="542"/>
      <c r="U561" s="543"/>
      <c r="V561" s="543"/>
      <c r="W561" s="544"/>
      <c r="X561" s="544"/>
    </row>
    <row r="562" customFormat="false" ht="30" hidden="false" customHeight="true" outlineLevel="0" collapsed="false">
      <c r="A562" s="225"/>
      <c r="B562" s="549" t="s">
        <v>318</v>
      </c>
      <c r="C562" s="549"/>
      <c r="D562" s="549"/>
      <c r="E562" s="549"/>
      <c r="F562" s="549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42"/>
      <c r="S562" s="542"/>
      <c r="T562" s="542"/>
      <c r="U562" s="543"/>
      <c r="V562" s="543"/>
      <c r="W562" s="544"/>
      <c r="X562" s="544"/>
    </row>
    <row r="563" customFormat="false" ht="15" hidden="false" customHeight="true" outlineLevel="0" collapsed="false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</row>
    <row r="564" customFormat="false" ht="15" hidden="false" customHeight="true" outlineLevel="0" collapsed="false">
      <c r="A564" s="215" t="s">
        <v>514</v>
      </c>
      <c r="B564" s="269"/>
      <c r="C564" s="269"/>
      <c r="D564" s="269"/>
      <c r="E564" s="269"/>
      <c r="F564" s="269"/>
      <c r="G564" s="269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</row>
    <row r="565" customFormat="false" ht="15" hidden="false" customHeight="true" outlineLevel="0" collapsed="false">
      <c r="A565" s="259" t="s">
        <v>515</v>
      </c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</row>
    <row r="566" customFormat="false" ht="30" hidden="false" customHeight="true" outlineLevel="0" collapsed="false">
      <c r="A566" s="259"/>
      <c r="B566" s="551" t="s">
        <v>277</v>
      </c>
      <c r="C566" s="551"/>
      <c r="D566" s="551"/>
      <c r="E566" s="552"/>
      <c r="F566" s="552"/>
      <c r="G566" s="552"/>
      <c r="H566" s="553" t="s">
        <v>278</v>
      </c>
      <c r="I566" s="553"/>
      <c r="J566" s="553"/>
      <c r="K566" s="552"/>
      <c r="L566" s="552"/>
      <c r="M566" s="552"/>
      <c r="N566" s="552"/>
      <c r="O566" s="553" t="s">
        <v>432</v>
      </c>
      <c r="P566" s="553"/>
      <c r="Q566" s="553"/>
      <c r="R566" s="554"/>
      <c r="S566" s="554"/>
      <c r="T566" s="554"/>
      <c r="U566" s="554"/>
      <c r="V566" s="264"/>
      <c r="W566" s="264"/>
      <c r="X566" s="264"/>
    </row>
    <row r="567" customFormat="false" ht="30" hidden="false" customHeight="true" outlineLevel="0" collapsed="false">
      <c r="A567" s="225"/>
      <c r="B567" s="251" t="s">
        <v>516</v>
      </c>
      <c r="C567" s="251"/>
      <c r="D567" s="251"/>
      <c r="E567" s="543"/>
      <c r="F567" s="543"/>
      <c r="G567" s="543"/>
      <c r="H567" s="555" t="s">
        <v>517</v>
      </c>
      <c r="I567" s="555"/>
      <c r="J567" s="555"/>
      <c r="K567" s="543"/>
      <c r="L567" s="543"/>
      <c r="M567" s="543"/>
      <c r="N567" s="543"/>
      <c r="O567" s="555" t="s">
        <v>518</v>
      </c>
      <c r="P567" s="555"/>
      <c r="Q567" s="555"/>
      <c r="R567" s="556"/>
      <c r="S567" s="556"/>
      <c r="T567" s="556"/>
      <c r="U567" s="556"/>
      <c r="V567" s="225"/>
      <c r="W567" s="225"/>
      <c r="X567" s="225"/>
    </row>
    <row r="568" customFormat="false" ht="15" hidden="false" customHeight="true" outlineLevel="0" collapsed="false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</row>
    <row r="569" customFormat="false" ht="15" hidden="false" customHeight="true" outlineLevel="0" collapsed="false">
      <c r="A569" s="285" t="s">
        <v>519</v>
      </c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22"/>
      <c r="S569" s="222"/>
      <c r="T569" s="222"/>
      <c r="U569" s="222"/>
      <c r="V569" s="222"/>
      <c r="W569" s="222"/>
      <c r="X569" s="264"/>
    </row>
    <row r="570" customFormat="false" ht="30" hidden="false" customHeight="true" outlineLevel="0" collapsed="false">
      <c r="A570" s="225"/>
      <c r="B570" s="551" t="s">
        <v>320</v>
      </c>
      <c r="C570" s="551"/>
      <c r="D570" s="551"/>
      <c r="E570" s="557"/>
      <c r="F570" s="557"/>
      <c r="G570" s="557"/>
      <c r="H570" s="557"/>
      <c r="I570" s="557"/>
      <c r="J570" s="558" t="s">
        <v>9</v>
      </c>
      <c r="K570" s="553" t="s">
        <v>321</v>
      </c>
      <c r="L570" s="553"/>
      <c r="M570" s="553"/>
      <c r="N570" s="554"/>
      <c r="O570" s="554"/>
      <c r="P570" s="554"/>
      <c r="Q570" s="554"/>
      <c r="R570" s="554"/>
      <c r="S570" s="554"/>
      <c r="T570" s="554"/>
      <c r="U570" s="554"/>
      <c r="V570" s="222"/>
      <c r="W570" s="222"/>
      <c r="X570" s="222"/>
    </row>
    <row r="571" customFormat="false" ht="30" hidden="false" customHeight="true" outlineLevel="0" collapsed="false">
      <c r="A571" s="225"/>
      <c r="B571" s="251" t="s">
        <v>244</v>
      </c>
      <c r="C571" s="251"/>
      <c r="D571" s="251"/>
      <c r="E571" s="543"/>
      <c r="F571" s="543"/>
      <c r="G571" s="543"/>
      <c r="H571" s="543"/>
      <c r="I571" s="543"/>
      <c r="J571" s="543"/>
      <c r="K571" s="555" t="s">
        <v>245</v>
      </c>
      <c r="L571" s="555"/>
      <c r="M571" s="555"/>
      <c r="N571" s="556"/>
      <c r="O571" s="556"/>
      <c r="P571" s="556"/>
      <c r="Q571" s="556"/>
      <c r="R571" s="556"/>
      <c r="S571" s="556"/>
      <c r="T571" s="556"/>
      <c r="U571" s="556"/>
      <c r="V571" s="222"/>
      <c r="W571" s="222"/>
      <c r="X571" s="222"/>
    </row>
    <row r="572" customFormat="false" ht="15" hidden="false" customHeight="true" outlineLevel="0" collapsed="false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</row>
    <row r="573" customFormat="false" ht="15" hidden="false" customHeight="true" outlineLevel="0" collapsed="false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</row>
    <row r="574" customFormat="false" ht="18.75" hidden="false" customHeight="true" outlineLevel="0" collapsed="false">
      <c r="A574" s="124" t="s">
        <v>82</v>
      </c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</row>
    <row r="575" customFormat="false" ht="33.75" hidden="false" customHeight="true" outlineLevel="0" collapsed="false">
      <c r="A575" s="125" t="s">
        <v>520</v>
      </c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506" t="s">
        <v>521</v>
      </c>
      <c r="O575" s="506"/>
      <c r="P575" s="506"/>
      <c r="Q575" s="506"/>
      <c r="R575" s="506"/>
      <c r="S575" s="506"/>
      <c r="T575" s="506"/>
      <c r="U575" s="506"/>
      <c r="V575" s="506"/>
      <c r="W575" s="506"/>
      <c r="X575" s="506"/>
    </row>
    <row r="576" customFormat="false" ht="22.5" hidden="false" customHeight="true" outlineLevel="0" collapsed="false">
      <c r="A576" s="127" t="s">
        <v>85</v>
      </c>
      <c r="B576" s="127"/>
      <c r="C576" s="127"/>
      <c r="D576" s="127"/>
      <c r="E576" s="128" t="s">
        <v>2</v>
      </c>
      <c r="F576" s="128"/>
      <c r="G576" s="128"/>
      <c r="H576" s="128"/>
      <c r="I576" s="128"/>
      <c r="J576" s="128"/>
      <c r="K576" s="128"/>
      <c r="L576" s="129" t="s">
        <v>86</v>
      </c>
      <c r="M576" s="129"/>
      <c r="N576" s="129"/>
      <c r="O576" s="129"/>
      <c r="P576" s="129"/>
      <c r="Q576" s="130" t="s">
        <v>87</v>
      </c>
      <c r="R576" s="130"/>
      <c r="S576" s="130"/>
      <c r="T576" s="130"/>
      <c r="U576" s="130"/>
      <c r="V576" s="130"/>
      <c r="W576" s="130"/>
      <c r="X576" s="130"/>
    </row>
    <row r="577" customFormat="false" ht="22.5" hidden="false" customHeight="true" outlineLevel="0" collapsed="false">
      <c r="A577" s="131" t="s">
        <v>88</v>
      </c>
      <c r="B577" s="131"/>
      <c r="C577" s="131"/>
      <c r="D577" s="131"/>
      <c r="E577" s="132" t="s">
        <v>6</v>
      </c>
      <c r="F577" s="132"/>
      <c r="G577" s="132"/>
      <c r="H577" s="132"/>
      <c r="I577" s="132"/>
      <c r="J577" s="132"/>
      <c r="K577" s="132"/>
      <c r="L577" s="132" t="s">
        <v>89</v>
      </c>
      <c r="M577" s="132"/>
      <c r="N577" s="132"/>
      <c r="O577" s="132"/>
      <c r="P577" s="132"/>
      <c r="Q577" s="133" t="s">
        <v>90</v>
      </c>
      <c r="R577" s="133"/>
      <c r="S577" s="133"/>
      <c r="T577" s="134" t="s">
        <v>52</v>
      </c>
      <c r="U577" s="135" t="s">
        <v>91</v>
      </c>
      <c r="V577" s="135"/>
      <c r="W577" s="135"/>
      <c r="X577" s="136" t="s">
        <v>49</v>
      </c>
    </row>
    <row r="578" customFormat="false" ht="15" hidden="false" customHeight="true" outlineLevel="0" collapsed="false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5"/>
      <c r="M578" s="225"/>
      <c r="N578" s="225"/>
      <c r="O578" s="225"/>
      <c r="P578" s="225"/>
      <c r="Q578" s="222"/>
      <c r="R578" s="222"/>
      <c r="S578" s="222"/>
      <c r="T578" s="222"/>
      <c r="U578" s="222"/>
      <c r="V578" s="222"/>
      <c r="W578" s="222"/>
      <c r="X578" s="222"/>
    </row>
    <row r="579" customFormat="false" ht="15" hidden="false" customHeight="true" outlineLevel="0" collapsed="false">
      <c r="A579" s="215" t="s">
        <v>522</v>
      </c>
      <c r="B579" s="215"/>
      <c r="C579" s="215"/>
      <c r="D579" s="215"/>
      <c r="E579" s="215"/>
      <c r="F579" s="218"/>
      <c r="G579" s="218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</row>
    <row r="580" customFormat="false" ht="37.5" hidden="false" customHeight="true" outlineLevel="0" collapsed="false">
      <c r="A580" s="137"/>
      <c r="B580" s="559" t="s">
        <v>523</v>
      </c>
      <c r="C580" s="559"/>
      <c r="D580" s="559"/>
      <c r="E580" s="560" t="s">
        <v>524</v>
      </c>
      <c r="F580" s="560"/>
      <c r="G580" s="560" t="s">
        <v>525</v>
      </c>
      <c r="H580" s="560"/>
      <c r="I580" s="560"/>
      <c r="J580" s="493" t="s">
        <v>526</v>
      </c>
      <c r="K580" s="493"/>
      <c r="L580" s="493"/>
      <c r="M580" s="493" t="s">
        <v>527</v>
      </c>
      <c r="N580" s="493"/>
      <c r="O580" s="493"/>
      <c r="P580" s="493"/>
      <c r="Q580" s="493"/>
      <c r="R580" s="493" t="s">
        <v>528</v>
      </c>
      <c r="S580" s="493"/>
      <c r="T580" s="561" t="s">
        <v>529</v>
      </c>
      <c r="U580" s="561"/>
      <c r="V580" s="561"/>
      <c r="W580" s="562" t="s">
        <v>530</v>
      </c>
      <c r="X580" s="562"/>
    </row>
    <row r="581" customFormat="false" ht="24.75" hidden="false" customHeight="true" outlineLevel="0" collapsed="false">
      <c r="A581" s="137"/>
      <c r="B581" s="563"/>
      <c r="C581" s="563"/>
      <c r="D581" s="563"/>
      <c r="E581" s="205"/>
      <c r="F581" s="205"/>
      <c r="G581" s="205"/>
      <c r="H581" s="205"/>
      <c r="I581" s="205"/>
      <c r="J581" s="205"/>
      <c r="K581" s="205"/>
      <c r="L581" s="205"/>
      <c r="M581" s="205" t="s">
        <v>531</v>
      </c>
      <c r="N581" s="205"/>
      <c r="O581" s="205"/>
      <c r="P581" s="205"/>
      <c r="Q581" s="205"/>
      <c r="R581" s="205"/>
      <c r="S581" s="205"/>
      <c r="T581" s="563"/>
      <c r="U581" s="563"/>
      <c r="V581" s="563"/>
      <c r="W581" s="564"/>
      <c r="X581" s="564"/>
    </row>
    <row r="582" customFormat="false" ht="24.75" hidden="false" customHeight="true" outlineLevel="0" collapsed="false">
      <c r="A582" s="137"/>
      <c r="B582" s="563"/>
      <c r="C582" s="563"/>
      <c r="D582" s="563"/>
      <c r="E582" s="205"/>
      <c r="F582" s="205"/>
      <c r="G582" s="205"/>
      <c r="H582" s="205"/>
      <c r="I582" s="205"/>
      <c r="J582" s="205"/>
      <c r="K582" s="205"/>
      <c r="L582" s="205"/>
      <c r="M582" s="205" t="s">
        <v>531</v>
      </c>
      <c r="N582" s="205"/>
      <c r="O582" s="205"/>
      <c r="P582" s="205"/>
      <c r="Q582" s="205"/>
      <c r="R582" s="205"/>
      <c r="S582" s="205"/>
      <c r="T582" s="563"/>
      <c r="U582" s="563"/>
      <c r="V582" s="563"/>
      <c r="W582" s="564"/>
      <c r="X582" s="564"/>
    </row>
    <row r="583" customFormat="false" ht="24.75" hidden="false" customHeight="true" outlineLevel="0" collapsed="false">
      <c r="A583" s="137"/>
      <c r="B583" s="563"/>
      <c r="C583" s="563"/>
      <c r="D583" s="563"/>
      <c r="E583" s="205"/>
      <c r="F583" s="205"/>
      <c r="G583" s="205"/>
      <c r="H583" s="205"/>
      <c r="I583" s="205"/>
      <c r="J583" s="205"/>
      <c r="K583" s="205"/>
      <c r="L583" s="205"/>
      <c r="M583" s="205" t="s">
        <v>531</v>
      </c>
      <c r="N583" s="205"/>
      <c r="O583" s="205"/>
      <c r="P583" s="205"/>
      <c r="Q583" s="205"/>
      <c r="R583" s="205"/>
      <c r="S583" s="205"/>
      <c r="T583" s="563"/>
      <c r="U583" s="563"/>
      <c r="V583" s="563"/>
      <c r="W583" s="564"/>
      <c r="X583" s="564"/>
    </row>
    <row r="584" customFormat="false" ht="24.75" hidden="false" customHeight="true" outlineLevel="0" collapsed="false">
      <c r="A584" s="137"/>
      <c r="B584" s="563"/>
      <c r="C584" s="563"/>
      <c r="D584" s="563"/>
      <c r="E584" s="205"/>
      <c r="F584" s="205"/>
      <c r="G584" s="205"/>
      <c r="H584" s="205"/>
      <c r="I584" s="205"/>
      <c r="J584" s="205"/>
      <c r="K584" s="205"/>
      <c r="L584" s="205"/>
      <c r="M584" s="205" t="s">
        <v>531</v>
      </c>
      <c r="N584" s="205"/>
      <c r="O584" s="205"/>
      <c r="P584" s="205"/>
      <c r="Q584" s="205"/>
      <c r="R584" s="205"/>
      <c r="S584" s="205"/>
      <c r="T584" s="563"/>
      <c r="U584" s="563"/>
      <c r="V584" s="563"/>
      <c r="W584" s="564"/>
      <c r="X584" s="564"/>
    </row>
    <row r="585" customFormat="false" ht="24.75" hidden="false" customHeight="true" outlineLevel="0" collapsed="false">
      <c r="A585" s="137"/>
      <c r="B585" s="563"/>
      <c r="C585" s="563"/>
      <c r="D585" s="563"/>
      <c r="E585" s="205"/>
      <c r="F585" s="205"/>
      <c r="G585" s="205"/>
      <c r="H585" s="205"/>
      <c r="I585" s="205"/>
      <c r="J585" s="205"/>
      <c r="K585" s="205"/>
      <c r="L585" s="205"/>
      <c r="M585" s="205" t="s">
        <v>531</v>
      </c>
      <c r="N585" s="205"/>
      <c r="O585" s="205"/>
      <c r="P585" s="205"/>
      <c r="Q585" s="205"/>
      <c r="R585" s="205"/>
      <c r="S585" s="205"/>
      <c r="T585" s="563"/>
      <c r="U585" s="563"/>
      <c r="V585" s="563"/>
      <c r="W585" s="564"/>
      <c r="X585" s="564"/>
    </row>
    <row r="586" customFormat="false" ht="24.75" hidden="false" customHeight="true" outlineLevel="0" collapsed="false">
      <c r="A586" s="137"/>
      <c r="B586" s="563"/>
      <c r="C586" s="563"/>
      <c r="D586" s="563"/>
      <c r="E586" s="205"/>
      <c r="F586" s="205"/>
      <c r="G586" s="205"/>
      <c r="H586" s="205"/>
      <c r="I586" s="205"/>
      <c r="J586" s="205"/>
      <c r="K586" s="205"/>
      <c r="L586" s="205"/>
      <c r="M586" s="205" t="s">
        <v>531</v>
      </c>
      <c r="N586" s="205"/>
      <c r="O586" s="205"/>
      <c r="P586" s="205"/>
      <c r="Q586" s="205"/>
      <c r="R586" s="205"/>
      <c r="S586" s="205"/>
      <c r="T586" s="563"/>
      <c r="U586" s="563"/>
      <c r="V586" s="563"/>
      <c r="W586" s="564"/>
      <c r="X586" s="564"/>
    </row>
    <row r="587" customFormat="false" ht="24.75" hidden="false" customHeight="true" outlineLevel="0" collapsed="false">
      <c r="A587" s="137"/>
      <c r="B587" s="563"/>
      <c r="C587" s="563"/>
      <c r="D587" s="563"/>
      <c r="E587" s="205"/>
      <c r="F587" s="205"/>
      <c r="G587" s="205"/>
      <c r="H587" s="205"/>
      <c r="I587" s="205"/>
      <c r="J587" s="205"/>
      <c r="K587" s="205"/>
      <c r="L587" s="205"/>
      <c r="M587" s="205" t="s">
        <v>531</v>
      </c>
      <c r="N587" s="205"/>
      <c r="O587" s="205"/>
      <c r="P587" s="205"/>
      <c r="Q587" s="205"/>
      <c r="R587" s="205"/>
      <c r="S587" s="205"/>
      <c r="T587" s="563"/>
      <c r="U587" s="563"/>
      <c r="V587" s="563"/>
      <c r="W587" s="564"/>
      <c r="X587" s="564"/>
    </row>
    <row r="588" customFormat="false" ht="24.75" hidden="false" customHeight="true" outlineLevel="0" collapsed="false">
      <c r="A588" s="137"/>
      <c r="B588" s="563"/>
      <c r="C588" s="563"/>
      <c r="D588" s="563"/>
      <c r="E588" s="205"/>
      <c r="F588" s="205"/>
      <c r="G588" s="205"/>
      <c r="H588" s="205"/>
      <c r="I588" s="205"/>
      <c r="J588" s="205"/>
      <c r="K588" s="205"/>
      <c r="L588" s="205"/>
      <c r="M588" s="205" t="s">
        <v>531</v>
      </c>
      <c r="N588" s="205"/>
      <c r="O588" s="205"/>
      <c r="P588" s="205"/>
      <c r="Q588" s="205"/>
      <c r="R588" s="205"/>
      <c r="S588" s="205"/>
      <c r="T588" s="563"/>
      <c r="U588" s="563"/>
      <c r="V588" s="563"/>
      <c r="W588" s="564"/>
      <c r="X588" s="564"/>
    </row>
    <row r="589" customFormat="false" ht="24.75" hidden="false" customHeight="true" outlineLevel="0" collapsed="false">
      <c r="A589" s="137"/>
      <c r="B589" s="563"/>
      <c r="C589" s="563"/>
      <c r="D589" s="563"/>
      <c r="E589" s="205"/>
      <c r="F589" s="205"/>
      <c r="G589" s="205"/>
      <c r="H589" s="205"/>
      <c r="I589" s="205"/>
      <c r="J589" s="205"/>
      <c r="K589" s="205"/>
      <c r="L589" s="205"/>
      <c r="M589" s="205" t="s">
        <v>531</v>
      </c>
      <c r="N589" s="205"/>
      <c r="O589" s="205"/>
      <c r="P589" s="205"/>
      <c r="Q589" s="205"/>
      <c r="R589" s="205"/>
      <c r="S589" s="205"/>
      <c r="T589" s="563"/>
      <c r="U589" s="563"/>
      <c r="V589" s="563"/>
      <c r="W589" s="564"/>
      <c r="X589" s="564"/>
    </row>
    <row r="590" customFormat="false" ht="24.75" hidden="false" customHeight="true" outlineLevel="0" collapsed="false">
      <c r="A590" s="137"/>
      <c r="B590" s="563"/>
      <c r="C590" s="563"/>
      <c r="D590" s="563"/>
      <c r="E590" s="205"/>
      <c r="F590" s="205"/>
      <c r="G590" s="205"/>
      <c r="H590" s="205"/>
      <c r="I590" s="205"/>
      <c r="J590" s="205"/>
      <c r="K590" s="205"/>
      <c r="L590" s="205"/>
      <c r="M590" s="205" t="s">
        <v>531</v>
      </c>
      <c r="N590" s="205"/>
      <c r="O590" s="205"/>
      <c r="P590" s="205"/>
      <c r="Q590" s="205"/>
      <c r="R590" s="205"/>
      <c r="S590" s="205"/>
      <c r="T590" s="563"/>
      <c r="U590" s="563"/>
      <c r="V590" s="563"/>
      <c r="W590" s="564"/>
      <c r="X590" s="564"/>
    </row>
    <row r="591" customFormat="false" ht="24.75" hidden="false" customHeight="true" outlineLevel="0" collapsed="false">
      <c r="A591" s="137"/>
      <c r="B591" s="563"/>
      <c r="C591" s="563"/>
      <c r="D591" s="563"/>
      <c r="E591" s="205"/>
      <c r="F591" s="205"/>
      <c r="G591" s="205"/>
      <c r="H591" s="205"/>
      <c r="I591" s="205"/>
      <c r="J591" s="205"/>
      <c r="K591" s="205"/>
      <c r="L591" s="205"/>
      <c r="M591" s="205" t="s">
        <v>531</v>
      </c>
      <c r="N591" s="205"/>
      <c r="O591" s="205"/>
      <c r="P591" s="205"/>
      <c r="Q591" s="205"/>
      <c r="R591" s="205"/>
      <c r="S591" s="205"/>
      <c r="T591" s="563"/>
      <c r="U591" s="563"/>
      <c r="V591" s="563"/>
      <c r="W591" s="564"/>
      <c r="X591" s="564"/>
    </row>
    <row r="592" customFormat="false" ht="24.75" hidden="false" customHeight="true" outlineLevel="0" collapsed="false">
      <c r="A592" s="137"/>
      <c r="B592" s="563"/>
      <c r="C592" s="563"/>
      <c r="D592" s="563"/>
      <c r="E592" s="205"/>
      <c r="F592" s="205"/>
      <c r="G592" s="205"/>
      <c r="H592" s="205"/>
      <c r="I592" s="205"/>
      <c r="J592" s="205"/>
      <c r="K592" s="205"/>
      <c r="L592" s="205"/>
      <c r="M592" s="205" t="s">
        <v>531</v>
      </c>
      <c r="N592" s="205"/>
      <c r="O592" s="205"/>
      <c r="P592" s="205"/>
      <c r="Q592" s="205"/>
      <c r="R592" s="205"/>
      <c r="S592" s="205"/>
      <c r="T592" s="563"/>
      <c r="U592" s="563"/>
      <c r="V592" s="563"/>
      <c r="W592" s="564"/>
      <c r="X592" s="564"/>
    </row>
    <row r="593" customFormat="false" ht="24.75" hidden="false" customHeight="true" outlineLevel="0" collapsed="false">
      <c r="A593" s="137"/>
      <c r="B593" s="565"/>
      <c r="C593" s="565"/>
      <c r="D593" s="565"/>
      <c r="E593" s="212"/>
      <c r="F593" s="212"/>
      <c r="G593" s="212"/>
      <c r="H593" s="212"/>
      <c r="I593" s="212"/>
      <c r="J593" s="212"/>
      <c r="K593" s="212"/>
      <c r="L593" s="212"/>
      <c r="M593" s="212" t="s">
        <v>531</v>
      </c>
      <c r="N593" s="212"/>
      <c r="O593" s="212"/>
      <c r="P593" s="212"/>
      <c r="Q593" s="212"/>
      <c r="R593" s="212"/>
      <c r="S593" s="212"/>
      <c r="T593" s="565"/>
      <c r="U593" s="565"/>
      <c r="V593" s="565"/>
      <c r="W593" s="566"/>
      <c r="X593" s="566"/>
    </row>
    <row r="594" customFormat="false" ht="15" hidden="false" customHeight="true" outlineLevel="0" collapsed="false">
      <c r="A594" s="137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235"/>
      <c r="X594" s="235"/>
    </row>
    <row r="595" customFormat="false" ht="15" hidden="false" customHeight="true" outlineLevel="0" collapsed="false">
      <c r="A595" s="155" t="s">
        <v>532</v>
      </c>
      <c r="B595" s="215"/>
      <c r="C595" s="269"/>
      <c r="D595" s="269"/>
      <c r="E595" s="269"/>
      <c r="F595" s="269"/>
      <c r="G595" s="264"/>
      <c r="H595" s="264"/>
      <c r="I595" s="264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</row>
    <row r="596" customFormat="false" ht="15" hidden="false" customHeight="true" outlineLevel="0" collapsed="false">
      <c r="A596" s="567" t="s">
        <v>533</v>
      </c>
      <c r="B596" s="567"/>
      <c r="C596" s="568" t="s">
        <v>78</v>
      </c>
      <c r="D596" s="568"/>
      <c r="E596" s="568"/>
      <c r="F596" s="568"/>
      <c r="G596" s="569" t="s">
        <v>78</v>
      </c>
      <c r="H596" s="569"/>
      <c r="I596" s="569"/>
      <c r="J596" s="569"/>
      <c r="K596" s="569" t="s">
        <v>78</v>
      </c>
      <c r="L596" s="569"/>
      <c r="M596" s="569"/>
      <c r="N596" s="569"/>
      <c r="O596" s="569" t="s">
        <v>78</v>
      </c>
      <c r="P596" s="569"/>
      <c r="Q596" s="569"/>
      <c r="R596" s="569"/>
      <c r="S596" s="570" t="s">
        <v>78</v>
      </c>
      <c r="T596" s="570"/>
      <c r="U596" s="570"/>
      <c r="V596" s="570"/>
      <c r="W596" s="137"/>
      <c r="X596" s="137"/>
    </row>
    <row r="597" customFormat="false" ht="15" hidden="false" customHeight="true" outlineLevel="0" collapsed="false">
      <c r="A597" s="571" t="s">
        <v>22</v>
      </c>
      <c r="B597" s="571"/>
      <c r="C597" s="572"/>
      <c r="D597" s="572"/>
      <c r="E597" s="572"/>
      <c r="F597" s="572"/>
      <c r="G597" s="572"/>
      <c r="H597" s="572"/>
      <c r="I597" s="572"/>
      <c r="J597" s="572"/>
      <c r="K597" s="572"/>
      <c r="L597" s="572"/>
      <c r="M597" s="572"/>
      <c r="N597" s="572"/>
      <c r="O597" s="572"/>
      <c r="P597" s="572"/>
      <c r="Q597" s="572"/>
      <c r="R597" s="572"/>
      <c r="S597" s="573"/>
      <c r="T597" s="573"/>
      <c r="U597" s="573"/>
      <c r="V597" s="573"/>
      <c r="W597" s="137"/>
      <c r="X597" s="137"/>
    </row>
    <row r="598" customFormat="false" ht="15" hidden="false" customHeight="true" outlineLevel="0" collapsed="false">
      <c r="A598" s="571"/>
      <c r="B598" s="571"/>
      <c r="C598" s="572"/>
      <c r="D598" s="572"/>
      <c r="E598" s="572"/>
      <c r="F598" s="572"/>
      <c r="G598" s="572"/>
      <c r="H598" s="572"/>
      <c r="I598" s="572"/>
      <c r="J598" s="572"/>
      <c r="K598" s="572"/>
      <c r="L598" s="572"/>
      <c r="M598" s="572"/>
      <c r="N598" s="572"/>
      <c r="O598" s="572"/>
      <c r="P598" s="572"/>
      <c r="Q598" s="572"/>
      <c r="R598" s="572"/>
      <c r="S598" s="573"/>
      <c r="T598" s="573"/>
      <c r="U598" s="573"/>
      <c r="V598" s="573"/>
      <c r="W598" s="137"/>
      <c r="X598" s="137"/>
    </row>
    <row r="599" customFormat="false" ht="15" hidden="false" customHeight="true" outlineLevel="0" collapsed="false">
      <c r="A599" s="571"/>
      <c r="B599" s="571"/>
      <c r="C599" s="572"/>
      <c r="D599" s="572"/>
      <c r="E599" s="572"/>
      <c r="F599" s="572"/>
      <c r="G599" s="572"/>
      <c r="H599" s="572"/>
      <c r="I599" s="572"/>
      <c r="J599" s="572"/>
      <c r="K599" s="572"/>
      <c r="L599" s="572"/>
      <c r="M599" s="572"/>
      <c r="N599" s="572"/>
      <c r="O599" s="572"/>
      <c r="P599" s="572"/>
      <c r="Q599" s="572"/>
      <c r="R599" s="572"/>
      <c r="S599" s="573"/>
      <c r="T599" s="573"/>
      <c r="U599" s="573"/>
      <c r="V599" s="573"/>
      <c r="W599" s="137"/>
      <c r="X599" s="137"/>
    </row>
    <row r="600" customFormat="false" ht="15" hidden="false" customHeight="true" outlineLevel="0" collapsed="false">
      <c r="A600" s="571"/>
      <c r="B600" s="571"/>
      <c r="C600" s="572"/>
      <c r="D600" s="572"/>
      <c r="E600" s="572"/>
      <c r="F600" s="572"/>
      <c r="G600" s="572"/>
      <c r="H600" s="572"/>
      <c r="I600" s="572"/>
      <c r="J600" s="572"/>
      <c r="K600" s="572"/>
      <c r="L600" s="572"/>
      <c r="M600" s="572"/>
      <c r="N600" s="572"/>
      <c r="O600" s="572"/>
      <c r="P600" s="572"/>
      <c r="Q600" s="572"/>
      <c r="R600" s="572"/>
      <c r="S600" s="573"/>
      <c r="T600" s="573"/>
      <c r="U600" s="573"/>
      <c r="V600" s="573"/>
      <c r="W600" s="137"/>
      <c r="X600" s="137"/>
    </row>
    <row r="601" customFormat="false" ht="15" hidden="false" customHeight="true" outlineLevel="0" collapsed="false">
      <c r="A601" s="571"/>
      <c r="B601" s="571"/>
      <c r="C601" s="572"/>
      <c r="D601" s="572"/>
      <c r="E601" s="572"/>
      <c r="F601" s="572"/>
      <c r="G601" s="572"/>
      <c r="H601" s="572"/>
      <c r="I601" s="572"/>
      <c r="J601" s="572"/>
      <c r="K601" s="572"/>
      <c r="L601" s="572"/>
      <c r="M601" s="572"/>
      <c r="N601" s="572"/>
      <c r="O601" s="572"/>
      <c r="P601" s="572"/>
      <c r="Q601" s="572"/>
      <c r="R601" s="572"/>
      <c r="S601" s="573"/>
      <c r="T601" s="573"/>
      <c r="U601" s="573"/>
      <c r="V601" s="573"/>
      <c r="W601" s="137"/>
      <c r="X601" s="137"/>
    </row>
    <row r="602" customFormat="false" ht="15" hidden="false" customHeight="true" outlineLevel="0" collapsed="false">
      <c r="A602" s="571"/>
      <c r="B602" s="571"/>
      <c r="C602" s="572"/>
      <c r="D602" s="572"/>
      <c r="E602" s="572"/>
      <c r="F602" s="572"/>
      <c r="G602" s="572"/>
      <c r="H602" s="572"/>
      <c r="I602" s="572"/>
      <c r="J602" s="572"/>
      <c r="K602" s="572"/>
      <c r="L602" s="572"/>
      <c r="M602" s="572"/>
      <c r="N602" s="572"/>
      <c r="O602" s="572"/>
      <c r="P602" s="572"/>
      <c r="Q602" s="572"/>
      <c r="R602" s="572"/>
      <c r="S602" s="573"/>
      <c r="T602" s="573"/>
      <c r="U602" s="573"/>
      <c r="V602" s="573"/>
      <c r="W602" s="137"/>
      <c r="X602" s="137"/>
    </row>
    <row r="603" customFormat="false" ht="15" hidden="false" customHeight="true" outlineLevel="0" collapsed="false">
      <c r="A603" s="571"/>
      <c r="B603" s="571"/>
      <c r="C603" s="572"/>
      <c r="D603" s="572"/>
      <c r="E603" s="572"/>
      <c r="F603" s="572"/>
      <c r="G603" s="572"/>
      <c r="H603" s="572"/>
      <c r="I603" s="572"/>
      <c r="J603" s="572"/>
      <c r="K603" s="572"/>
      <c r="L603" s="572"/>
      <c r="M603" s="572"/>
      <c r="N603" s="572"/>
      <c r="O603" s="572"/>
      <c r="P603" s="572"/>
      <c r="Q603" s="572"/>
      <c r="R603" s="572"/>
      <c r="S603" s="573"/>
      <c r="T603" s="573"/>
      <c r="U603" s="573"/>
      <c r="V603" s="573"/>
      <c r="W603" s="137"/>
      <c r="X603" s="137"/>
    </row>
    <row r="604" customFormat="false" ht="15" hidden="false" customHeight="true" outlineLevel="0" collapsed="false">
      <c r="A604" s="571"/>
      <c r="B604" s="571"/>
      <c r="C604" s="572"/>
      <c r="D604" s="572"/>
      <c r="E604" s="572"/>
      <c r="F604" s="572"/>
      <c r="G604" s="572"/>
      <c r="H604" s="572"/>
      <c r="I604" s="572"/>
      <c r="J604" s="572"/>
      <c r="K604" s="572"/>
      <c r="L604" s="572"/>
      <c r="M604" s="572"/>
      <c r="N604" s="572"/>
      <c r="O604" s="572"/>
      <c r="P604" s="572"/>
      <c r="Q604" s="572"/>
      <c r="R604" s="572"/>
      <c r="S604" s="573"/>
      <c r="T604" s="573"/>
      <c r="U604" s="573"/>
      <c r="V604" s="573"/>
      <c r="W604" s="137"/>
      <c r="X604" s="137"/>
    </row>
    <row r="605" customFormat="false" ht="15" hidden="false" customHeight="true" outlineLevel="0" collapsed="false">
      <c r="A605" s="571"/>
      <c r="B605" s="571"/>
      <c r="C605" s="572"/>
      <c r="D605" s="572"/>
      <c r="E605" s="572"/>
      <c r="F605" s="572"/>
      <c r="G605" s="572"/>
      <c r="H605" s="572"/>
      <c r="I605" s="572"/>
      <c r="J605" s="572"/>
      <c r="K605" s="572"/>
      <c r="L605" s="572"/>
      <c r="M605" s="572"/>
      <c r="N605" s="572"/>
      <c r="O605" s="572"/>
      <c r="P605" s="572"/>
      <c r="Q605" s="572"/>
      <c r="R605" s="572"/>
      <c r="S605" s="573"/>
      <c r="T605" s="573"/>
      <c r="U605" s="573"/>
      <c r="V605" s="573"/>
      <c r="W605" s="137"/>
      <c r="X605" s="137"/>
    </row>
    <row r="606" customFormat="false" ht="15" hidden="false" customHeight="true" outlineLevel="0" collapsed="false">
      <c r="A606" s="571"/>
      <c r="B606" s="571"/>
      <c r="C606" s="572"/>
      <c r="D606" s="572"/>
      <c r="E606" s="572"/>
      <c r="F606" s="572"/>
      <c r="G606" s="572"/>
      <c r="H606" s="572"/>
      <c r="I606" s="572"/>
      <c r="J606" s="572"/>
      <c r="K606" s="572"/>
      <c r="L606" s="572"/>
      <c r="M606" s="572"/>
      <c r="N606" s="572"/>
      <c r="O606" s="572"/>
      <c r="P606" s="572"/>
      <c r="Q606" s="572"/>
      <c r="R606" s="572"/>
      <c r="S606" s="573"/>
      <c r="T606" s="573"/>
      <c r="U606" s="573"/>
      <c r="V606" s="573"/>
      <c r="W606" s="137"/>
      <c r="X606" s="137"/>
    </row>
    <row r="607" customFormat="false" ht="15" hidden="false" customHeight="true" outlineLevel="0" collapsed="false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</row>
    <row r="608" customFormat="false" ht="18.75" hidden="false" customHeight="true" outlineLevel="0" collapsed="false">
      <c r="A608" s="124" t="s">
        <v>82</v>
      </c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</row>
    <row r="609" customFormat="false" ht="33.75" hidden="false" customHeight="true" outlineLevel="0" collapsed="false">
      <c r="A609" s="125" t="s">
        <v>534</v>
      </c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506" t="s">
        <v>535</v>
      </c>
      <c r="O609" s="506"/>
      <c r="P609" s="506"/>
      <c r="Q609" s="506"/>
      <c r="R609" s="506"/>
      <c r="S609" s="506"/>
      <c r="T609" s="506"/>
      <c r="U609" s="506"/>
      <c r="V609" s="506"/>
      <c r="W609" s="506"/>
      <c r="X609" s="506"/>
    </row>
    <row r="610" customFormat="false" ht="22.5" hidden="false" customHeight="true" outlineLevel="0" collapsed="false">
      <c r="A610" s="127" t="s">
        <v>85</v>
      </c>
      <c r="B610" s="127"/>
      <c r="C610" s="127"/>
      <c r="D610" s="127"/>
      <c r="E610" s="128" t="s">
        <v>2</v>
      </c>
      <c r="F610" s="128"/>
      <c r="G610" s="128"/>
      <c r="H610" s="128"/>
      <c r="I610" s="128"/>
      <c r="J610" s="128"/>
      <c r="K610" s="128"/>
      <c r="L610" s="129" t="s">
        <v>86</v>
      </c>
      <c r="M610" s="129"/>
      <c r="N610" s="129"/>
      <c r="O610" s="129"/>
      <c r="P610" s="129"/>
      <c r="Q610" s="130" t="s">
        <v>87</v>
      </c>
      <c r="R610" s="130"/>
      <c r="S610" s="130"/>
      <c r="T610" s="130"/>
      <c r="U610" s="130"/>
      <c r="V610" s="130"/>
      <c r="W610" s="130"/>
      <c r="X610" s="130"/>
    </row>
    <row r="611" customFormat="false" ht="22.5" hidden="false" customHeight="true" outlineLevel="0" collapsed="false">
      <c r="A611" s="131" t="s">
        <v>88</v>
      </c>
      <c r="B611" s="131"/>
      <c r="C611" s="131"/>
      <c r="D611" s="131"/>
      <c r="E611" s="132" t="s">
        <v>6</v>
      </c>
      <c r="F611" s="132"/>
      <c r="G611" s="132"/>
      <c r="H611" s="132"/>
      <c r="I611" s="132"/>
      <c r="J611" s="132"/>
      <c r="K611" s="132"/>
      <c r="L611" s="132" t="s">
        <v>89</v>
      </c>
      <c r="M611" s="132"/>
      <c r="N611" s="132"/>
      <c r="O611" s="132"/>
      <c r="P611" s="132"/>
      <c r="Q611" s="133" t="s">
        <v>90</v>
      </c>
      <c r="R611" s="133"/>
      <c r="S611" s="133"/>
      <c r="T611" s="134" t="s">
        <v>52</v>
      </c>
      <c r="U611" s="135" t="s">
        <v>91</v>
      </c>
      <c r="V611" s="135"/>
      <c r="W611" s="135"/>
      <c r="X611" s="136" t="s">
        <v>49</v>
      </c>
    </row>
    <row r="612" customFormat="false" ht="15" hidden="false" customHeight="true" outlineLevel="0" collapsed="false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</row>
    <row r="613" customFormat="false" ht="15" hidden="false" customHeight="true" outlineLevel="0" collapsed="false">
      <c r="A613" s="215" t="s">
        <v>536</v>
      </c>
      <c r="B613" s="574"/>
      <c r="C613" s="574"/>
      <c r="D613" s="574"/>
      <c r="E613" s="489"/>
      <c r="F613" s="489"/>
      <c r="G613" s="489"/>
      <c r="H613" s="489"/>
      <c r="I613" s="489"/>
      <c r="J613" s="489"/>
      <c r="K613" s="489"/>
      <c r="L613" s="489"/>
      <c r="M613" s="489"/>
      <c r="N613" s="489"/>
      <c r="O613" s="489"/>
      <c r="P613" s="489"/>
      <c r="Q613" s="489"/>
      <c r="R613" s="489"/>
      <c r="S613" s="489"/>
      <c r="T613" s="489"/>
      <c r="U613" s="489"/>
      <c r="V613" s="489"/>
      <c r="W613" s="489"/>
      <c r="X613" s="489"/>
    </row>
    <row r="614" customFormat="false" ht="15" hidden="false" customHeight="true" outlineLevel="0" collapsed="false">
      <c r="A614" s="575" t="s">
        <v>537</v>
      </c>
      <c r="B614" s="575"/>
      <c r="C614" s="575"/>
      <c r="D614" s="240" t="s">
        <v>538</v>
      </c>
      <c r="E614" s="240"/>
      <c r="F614" s="240"/>
      <c r="G614" s="240"/>
      <c r="H614" s="240" t="s">
        <v>539</v>
      </c>
      <c r="I614" s="240"/>
      <c r="J614" s="240"/>
      <c r="K614" s="240"/>
      <c r="L614" s="240" t="s">
        <v>540</v>
      </c>
      <c r="M614" s="240"/>
      <c r="N614" s="240"/>
      <c r="O614" s="240"/>
      <c r="P614" s="240"/>
      <c r="Q614" s="240" t="s">
        <v>541</v>
      </c>
      <c r="R614" s="240"/>
      <c r="S614" s="240"/>
      <c r="T614" s="240"/>
      <c r="U614" s="241" t="s">
        <v>542</v>
      </c>
      <c r="V614" s="241"/>
      <c r="W614" s="241"/>
      <c r="X614" s="241"/>
    </row>
    <row r="615" customFormat="false" ht="30" hidden="false" customHeight="true" outlineLevel="0" collapsed="false">
      <c r="A615" s="576" t="s">
        <v>543</v>
      </c>
      <c r="B615" s="576"/>
      <c r="C615" s="576"/>
      <c r="D615" s="577" t="s">
        <v>544</v>
      </c>
      <c r="E615" s="577"/>
      <c r="F615" s="577"/>
      <c r="G615" s="577"/>
      <c r="H615" s="578"/>
      <c r="I615" s="578"/>
      <c r="J615" s="578"/>
      <c r="K615" s="578"/>
      <c r="L615" s="579"/>
      <c r="M615" s="579"/>
      <c r="N615" s="579"/>
      <c r="O615" s="579"/>
      <c r="P615" s="579"/>
      <c r="Q615" s="578"/>
      <c r="R615" s="578"/>
      <c r="S615" s="578"/>
      <c r="T615" s="578"/>
      <c r="U615" s="578"/>
      <c r="V615" s="578"/>
      <c r="W615" s="578"/>
      <c r="X615" s="578"/>
    </row>
    <row r="616" customFormat="false" ht="30" hidden="false" customHeight="true" outlineLevel="0" collapsed="false">
      <c r="A616" s="576" t="s">
        <v>545</v>
      </c>
      <c r="B616" s="576"/>
      <c r="C616" s="576"/>
      <c r="D616" s="577" t="s">
        <v>546</v>
      </c>
      <c r="E616" s="577"/>
      <c r="F616" s="577"/>
      <c r="G616" s="577"/>
      <c r="H616" s="580"/>
      <c r="I616" s="580"/>
      <c r="J616" s="580"/>
      <c r="K616" s="580"/>
      <c r="L616" s="581"/>
      <c r="M616" s="581"/>
      <c r="N616" s="581"/>
      <c r="O616" s="581"/>
      <c r="P616" s="581"/>
      <c r="Q616" s="580"/>
      <c r="R616" s="580"/>
      <c r="S616" s="580"/>
      <c r="T616" s="580"/>
      <c r="U616" s="580"/>
      <c r="V616" s="580"/>
      <c r="W616" s="580"/>
      <c r="X616" s="580"/>
    </row>
    <row r="617" customFormat="false" ht="30" hidden="false" customHeight="true" outlineLevel="0" collapsed="false">
      <c r="A617" s="576" t="s">
        <v>547</v>
      </c>
      <c r="B617" s="576"/>
      <c r="C617" s="576"/>
      <c r="D617" s="577" t="s">
        <v>91</v>
      </c>
      <c r="E617" s="577"/>
      <c r="F617" s="577"/>
      <c r="G617" s="577"/>
      <c r="H617" s="580"/>
      <c r="I617" s="580"/>
      <c r="J617" s="580"/>
      <c r="K617" s="580"/>
      <c r="L617" s="581"/>
      <c r="M617" s="581"/>
      <c r="N617" s="581"/>
      <c r="O617" s="581"/>
      <c r="P617" s="581"/>
      <c r="Q617" s="580"/>
      <c r="R617" s="580"/>
      <c r="S617" s="580"/>
      <c r="T617" s="580"/>
      <c r="U617" s="580"/>
      <c r="V617" s="580"/>
      <c r="W617" s="580"/>
      <c r="X617" s="580"/>
    </row>
    <row r="618" customFormat="false" ht="30" hidden="false" customHeight="true" outlineLevel="0" collapsed="false">
      <c r="A618" s="576" t="s">
        <v>548</v>
      </c>
      <c r="B618" s="576"/>
      <c r="C618" s="576"/>
      <c r="D618" s="577" t="s">
        <v>90</v>
      </c>
      <c r="E618" s="577"/>
      <c r="F618" s="577"/>
      <c r="G618" s="577"/>
      <c r="H618" s="580"/>
      <c r="I618" s="580"/>
      <c r="J618" s="580"/>
      <c r="K618" s="580"/>
      <c r="L618" s="581"/>
      <c r="M618" s="581"/>
      <c r="N618" s="581"/>
      <c r="O618" s="581"/>
      <c r="P618" s="581"/>
      <c r="Q618" s="580"/>
      <c r="R618" s="580"/>
      <c r="S618" s="580"/>
      <c r="T618" s="580"/>
      <c r="U618" s="580"/>
      <c r="V618" s="580"/>
      <c r="W618" s="580"/>
      <c r="X618" s="580"/>
    </row>
    <row r="619" customFormat="false" ht="30" hidden="false" customHeight="true" outlineLevel="0" collapsed="false">
      <c r="A619" s="576" t="s">
        <v>549</v>
      </c>
      <c r="B619" s="576"/>
      <c r="C619" s="576"/>
      <c r="D619" s="577" t="s">
        <v>8</v>
      </c>
      <c r="E619" s="577"/>
      <c r="F619" s="577"/>
      <c r="G619" s="577"/>
      <c r="H619" s="580"/>
      <c r="I619" s="580"/>
      <c r="J619" s="580"/>
      <c r="K619" s="580"/>
      <c r="L619" s="581"/>
      <c r="M619" s="581"/>
      <c r="N619" s="581"/>
      <c r="O619" s="581"/>
      <c r="P619" s="581"/>
      <c r="Q619" s="580"/>
      <c r="R619" s="580"/>
      <c r="S619" s="580"/>
      <c r="T619" s="580"/>
      <c r="U619" s="580"/>
      <c r="V619" s="580"/>
      <c r="W619" s="580"/>
      <c r="X619" s="580"/>
    </row>
    <row r="620" customFormat="false" ht="30" hidden="false" customHeight="true" outlineLevel="0" collapsed="false">
      <c r="A620" s="563" t="s">
        <v>550</v>
      </c>
      <c r="B620" s="563"/>
      <c r="C620" s="563"/>
      <c r="D620" s="582"/>
      <c r="E620" s="582"/>
      <c r="F620" s="582"/>
      <c r="G620" s="582"/>
      <c r="H620" s="582"/>
      <c r="I620" s="582"/>
      <c r="J620" s="582"/>
      <c r="K620" s="582"/>
      <c r="L620" s="581"/>
      <c r="M620" s="581"/>
      <c r="N620" s="581"/>
      <c r="O620" s="581"/>
      <c r="P620" s="581"/>
      <c r="Q620" s="582"/>
      <c r="R620" s="582"/>
      <c r="S620" s="582"/>
      <c r="T620" s="582"/>
      <c r="U620" s="582"/>
      <c r="V620" s="582"/>
      <c r="W620" s="582"/>
      <c r="X620" s="582"/>
    </row>
    <row r="621" customFormat="false" ht="30" hidden="false" customHeight="true" outlineLevel="0" collapsed="false">
      <c r="A621" s="565" t="s">
        <v>551</v>
      </c>
      <c r="B621" s="565"/>
      <c r="C621" s="565"/>
      <c r="D621" s="582"/>
      <c r="E621" s="582"/>
      <c r="F621" s="582"/>
      <c r="G621" s="582"/>
      <c r="H621" s="582"/>
      <c r="I621" s="582"/>
      <c r="J621" s="582"/>
      <c r="K621" s="582"/>
      <c r="L621" s="583"/>
      <c r="M621" s="583"/>
      <c r="N621" s="583"/>
      <c r="O621" s="583"/>
      <c r="P621" s="583"/>
      <c r="Q621" s="582"/>
      <c r="R621" s="582"/>
      <c r="S621" s="582"/>
      <c r="T621" s="582"/>
      <c r="U621" s="582"/>
      <c r="V621" s="582"/>
      <c r="W621" s="582"/>
      <c r="X621" s="582"/>
    </row>
    <row r="622" customFormat="false" ht="15" hidden="false" customHeight="true" outlineLevel="0" collapsed="false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</row>
    <row r="623" customFormat="false" ht="15" hidden="false" customHeight="true" outlineLevel="0" collapsed="false">
      <c r="A623" s="215" t="s">
        <v>552</v>
      </c>
      <c r="B623" s="574"/>
      <c r="C623" s="574"/>
      <c r="D623" s="57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</row>
    <row r="624" customFormat="false" ht="15" hidden="false" customHeight="true" outlineLevel="0" collapsed="false">
      <c r="A624" s="575" t="s">
        <v>537</v>
      </c>
      <c r="B624" s="575"/>
      <c r="C624" s="575"/>
      <c r="D624" s="575"/>
      <c r="E624" s="240" t="s">
        <v>553</v>
      </c>
      <c r="F624" s="240"/>
      <c r="G624" s="240"/>
      <c r="H624" s="240"/>
      <c r="I624" s="240" t="s">
        <v>554</v>
      </c>
      <c r="J624" s="240"/>
      <c r="K624" s="240"/>
      <c r="L624" s="240"/>
      <c r="M624" s="240" t="s">
        <v>555</v>
      </c>
      <c r="N624" s="240"/>
      <c r="O624" s="240"/>
      <c r="P624" s="240"/>
      <c r="Q624" s="241" t="s">
        <v>556</v>
      </c>
      <c r="R624" s="241"/>
      <c r="S624" s="241"/>
      <c r="T624" s="241"/>
      <c r="U624" s="264"/>
      <c r="V624" s="264"/>
      <c r="W624" s="264"/>
      <c r="X624" s="264"/>
    </row>
    <row r="625" customFormat="false" ht="30" hidden="false" customHeight="true" outlineLevel="0" collapsed="false">
      <c r="A625" s="563" t="s">
        <v>32</v>
      </c>
      <c r="B625" s="563"/>
      <c r="C625" s="563"/>
      <c r="D625" s="563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6"/>
      <c r="R625" s="206"/>
      <c r="S625" s="206"/>
      <c r="T625" s="206"/>
      <c r="U625" s="264"/>
      <c r="V625" s="264"/>
      <c r="W625" s="264"/>
      <c r="X625" s="264"/>
    </row>
    <row r="626" customFormat="false" ht="30" hidden="false" customHeight="true" outlineLevel="0" collapsed="false">
      <c r="A626" s="563" t="s">
        <v>34</v>
      </c>
      <c r="B626" s="563"/>
      <c r="C626" s="563"/>
      <c r="D626" s="563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6"/>
      <c r="R626" s="206"/>
      <c r="S626" s="206"/>
      <c r="T626" s="206"/>
      <c r="U626" s="264"/>
      <c r="V626" s="264"/>
      <c r="W626" s="264"/>
      <c r="X626" s="264"/>
    </row>
    <row r="627" customFormat="false" ht="30" hidden="false" customHeight="true" outlineLevel="0" collapsed="false">
      <c r="A627" s="563" t="s">
        <v>35</v>
      </c>
      <c r="B627" s="563"/>
      <c r="C627" s="563"/>
      <c r="D627" s="563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6"/>
      <c r="R627" s="206"/>
      <c r="S627" s="206"/>
      <c r="T627" s="206"/>
      <c r="U627" s="264"/>
      <c r="V627" s="264"/>
      <c r="W627" s="264"/>
      <c r="X627" s="264"/>
    </row>
    <row r="628" customFormat="false" ht="30" hidden="false" customHeight="true" outlineLevel="0" collapsed="false">
      <c r="A628" s="563" t="s">
        <v>557</v>
      </c>
      <c r="B628" s="563"/>
      <c r="C628" s="563"/>
      <c r="D628" s="563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6"/>
      <c r="R628" s="206"/>
      <c r="S628" s="206"/>
      <c r="T628" s="206"/>
      <c r="U628" s="264"/>
      <c r="V628" s="264"/>
      <c r="W628" s="264"/>
      <c r="X628" s="264"/>
    </row>
    <row r="629" customFormat="false" ht="15" hidden="false" customHeight="true" outlineLevel="0" collapsed="false">
      <c r="A629" s="584"/>
      <c r="B629" s="584"/>
      <c r="C629" s="584"/>
      <c r="D629" s="584"/>
      <c r="E629" s="584"/>
      <c r="F629" s="584"/>
      <c r="G629" s="584"/>
      <c r="H629" s="584"/>
      <c r="I629" s="584"/>
      <c r="J629" s="584"/>
      <c r="K629" s="584"/>
      <c r="L629" s="584"/>
      <c r="M629" s="584"/>
      <c r="N629" s="584"/>
      <c r="O629" s="584"/>
      <c r="P629" s="584"/>
      <c r="Q629" s="584"/>
      <c r="R629" s="584"/>
      <c r="S629" s="584"/>
      <c r="T629" s="584"/>
      <c r="U629" s="264"/>
      <c r="V629" s="264"/>
      <c r="W629" s="264"/>
      <c r="X629" s="264"/>
    </row>
    <row r="630" customFormat="false" ht="15" hidden="false" customHeight="true" outlineLevel="0" collapsed="false">
      <c r="A630" s="585" t="s">
        <v>44</v>
      </c>
      <c r="B630" s="585"/>
      <c r="C630" s="333"/>
      <c r="D630" s="514"/>
      <c r="E630" s="514"/>
      <c r="F630" s="514"/>
      <c r="G630" s="514"/>
      <c r="H630" s="514"/>
      <c r="I630" s="514"/>
      <c r="J630" s="514"/>
      <c r="K630" s="514"/>
      <c r="L630" s="514"/>
      <c r="M630" s="514"/>
      <c r="N630" s="514"/>
      <c r="O630" s="514"/>
      <c r="P630" s="514"/>
      <c r="Q630" s="514"/>
      <c r="R630" s="514"/>
      <c r="S630" s="514"/>
      <c r="T630" s="514"/>
      <c r="U630" s="514"/>
      <c r="V630" s="514"/>
      <c r="W630" s="514"/>
      <c r="X630" s="515"/>
    </row>
    <row r="631" customFormat="false" ht="15" hidden="false" customHeight="true" outlineLevel="0" collapsed="false">
      <c r="A631" s="586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516"/>
    </row>
    <row r="632" customFormat="false" ht="15" hidden="false" customHeight="true" outlineLevel="0" collapsed="false">
      <c r="A632" s="586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516"/>
    </row>
    <row r="633" customFormat="false" ht="15" hidden="false" customHeight="true" outlineLevel="0" collapsed="false">
      <c r="A633" s="586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516"/>
    </row>
    <row r="634" customFormat="false" ht="15" hidden="false" customHeight="true" outlineLevel="0" collapsed="false">
      <c r="A634" s="586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516"/>
    </row>
    <row r="635" customFormat="false" ht="15" hidden="false" customHeight="true" outlineLevel="0" collapsed="false">
      <c r="A635" s="586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516"/>
    </row>
    <row r="636" customFormat="false" ht="15" hidden="false" customHeight="true" outlineLevel="0" collapsed="false">
      <c r="A636" s="587"/>
      <c r="B636" s="489"/>
      <c r="C636" s="489"/>
      <c r="D636" s="489"/>
      <c r="E636" s="489"/>
      <c r="F636" s="489"/>
      <c r="G636" s="489"/>
      <c r="H636" s="489"/>
      <c r="I636" s="489"/>
      <c r="J636" s="489"/>
      <c r="K636" s="489"/>
      <c r="L636" s="489"/>
      <c r="M636" s="489"/>
      <c r="N636" s="489"/>
      <c r="O636" s="489"/>
      <c r="P636" s="489"/>
      <c r="Q636" s="489"/>
      <c r="R636" s="489"/>
      <c r="S636" s="489"/>
      <c r="T636" s="489"/>
      <c r="U636" s="489"/>
      <c r="V636" s="489"/>
      <c r="W636" s="489"/>
      <c r="X636" s="588"/>
    </row>
    <row r="637" customFormat="false" ht="15" hidden="false" customHeight="true" outlineLevel="0" collapsed="false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</row>
    <row r="638" customFormat="false" ht="17.25" hidden="false" customHeight="true" outlineLevel="0" collapsed="false"/>
  </sheetData>
  <mergeCells count="1616">
    <mergeCell ref="A1:X1"/>
    <mergeCell ref="A2:D3"/>
    <mergeCell ref="E2:K3"/>
    <mergeCell ref="L2:P3"/>
    <mergeCell ref="Q2:W2"/>
    <mergeCell ref="Q3:R3"/>
    <mergeCell ref="S3:T3"/>
    <mergeCell ref="U3:W3"/>
    <mergeCell ref="A4:D4"/>
    <mergeCell ref="E4:K4"/>
    <mergeCell ref="L4:P4"/>
    <mergeCell ref="Q4:X4"/>
    <mergeCell ref="A5:D6"/>
    <mergeCell ref="E5:K5"/>
    <mergeCell ref="L5:P6"/>
    <mergeCell ref="Q5:X6"/>
    <mergeCell ref="E6:H6"/>
    <mergeCell ref="I6:K6"/>
    <mergeCell ref="A7:D8"/>
    <mergeCell ref="E7:K8"/>
    <mergeCell ref="L7:P8"/>
    <mergeCell ref="Q7:X7"/>
    <mergeCell ref="Q8:S8"/>
    <mergeCell ref="T8:X8"/>
    <mergeCell ref="A9:D9"/>
    <mergeCell ref="E9:I9"/>
    <mergeCell ref="J9:K9"/>
    <mergeCell ref="L9:P9"/>
    <mergeCell ref="Q9:X9"/>
    <mergeCell ref="A12:X12"/>
    <mergeCell ref="F19:I21"/>
    <mergeCell ref="J19:N19"/>
    <mergeCell ref="O19:S19"/>
    <mergeCell ref="T19:X19"/>
    <mergeCell ref="J20:N20"/>
    <mergeCell ref="O20:S20"/>
    <mergeCell ref="T20:X20"/>
    <mergeCell ref="J21:N21"/>
    <mergeCell ref="O21:S21"/>
    <mergeCell ref="T21:X21"/>
    <mergeCell ref="F22:I24"/>
    <mergeCell ref="J22:N22"/>
    <mergeCell ref="O22:S22"/>
    <mergeCell ref="T22:X22"/>
    <mergeCell ref="J23:N23"/>
    <mergeCell ref="O23:S23"/>
    <mergeCell ref="T23:X23"/>
    <mergeCell ref="J24:N24"/>
    <mergeCell ref="O24:S24"/>
    <mergeCell ref="T24:X24"/>
    <mergeCell ref="A26:M26"/>
    <mergeCell ref="N26:X26"/>
    <mergeCell ref="A27:D27"/>
    <mergeCell ref="E27:K27"/>
    <mergeCell ref="L27:P27"/>
    <mergeCell ref="Q27:X27"/>
    <mergeCell ref="A28:D28"/>
    <mergeCell ref="E28:K28"/>
    <mergeCell ref="L28:P28"/>
    <mergeCell ref="Q28:S28"/>
    <mergeCell ref="U28:W28"/>
    <mergeCell ref="A31:D31"/>
    <mergeCell ref="E31:H31"/>
    <mergeCell ref="I31:X31"/>
    <mergeCell ref="A32:D32"/>
    <mergeCell ref="E32:H32"/>
    <mergeCell ref="I32:X32"/>
    <mergeCell ref="A35:M35"/>
    <mergeCell ref="N35:X35"/>
    <mergeCell ref="A36:D36"/>
    <mergeCell ref="E36:K36"/>
    <mergeCell ref="L36:P36"/>
    <mergeCell ref="Q36:X36"/>
    <mergeCell ref="A37:D37"/>
    <mergeCell ref="E37:K37"/>
    <mergeCell ref="L37:P37"/>
    <mergeCell ref="Q37:S37"/>
    <mergeCell ref="U37:W37"/>
    <mergeCell ref="A40:O40"/>
    <mergeCell ref="P40:S40"/>
    <mergeCell ref="T40:X40"/>
    <mergeCell ref="A41:O41"/>
    <mergeCell ref="P41:S41"/>
    <mergeCell ref="T41:X41"/>
    <mergeCell ref="A42:O42"/>
    <mergeCell ref="P42:S42"/>
    <mergeCell ref="T42:X42"/>
    <mergeCell ref="A43:O43"/>
    <mergeCell ref="P43:S43"/>
    <mergeCell ref="T43:X43"/>
    <mergeCell ref="P44:S44"/>
    <mergeCell ref="T44:X44"/>
    <mergeCell ref="A50:M50"/>
    <mergeCell ref="N50:X50"/>
    <mergeCell ref="A51:D51"/>
    <mergeCell ref="E51:K51"/>
    <mergeCell ref="L51:P51"/>
    <mergeCell ref="Q51:X51"/>
    <mergeCell ref="A52:D52"/>
    <mergeCell ref="E52:K52"/>
    <mergeCell ref="L52:P52"/>
    <mergeCell ref="Q52:S52"/>
    <mergeCell ref="U52:W52"/>
    <mergeCell ref="U54:X54"/>
    <mergeCell ref="U55:X61"/>
    <mergeCell ref="A62:B62"/>
    <mergeCell ref="C62:D62"/>
    <mergeCell ref="F62:J62"/>
    <mergeCell ref="K62:L62"/>
    <mergeCell ref="M62:N62"/>
    <mergeCell ref="O62:Q62"/>
    <mergeCell ref="R62:T62"/>
    <mergeCell ref="U62:X62"/>
    <mergeCell ref="A63:B63"/>
    <mergeCell ref="C63:D63"/>
    <mergeCell ref="F63:J63"/>
    <mergeCell ref="K63:L63"/>
    <mergeCell ref="M63:N63"/>
    <mergeCell ref="O63:Q63"/>
    <mergeCell ref="R63:T63"/>
    <mergeCell ref="U63:X86"/>
    <mergeCell ref="A64:B64"/>
    <mergeCell ref="C64:D64"/>
    <mergeCell ref="F64:J64"/>
    <mergeCell ref="K64:L64"/>
    <mergeCell ref="M64:N64"/>
    <mergeCell ref="O64:Q64"/>
    <mergeCell ref="R64:T64"/>
    <mergeCell ref="A65:B65"/>
    <mergeCell ref="C65:D65"/>
    <mergeCell ref="F65:J65"/>
    <mergeCell ref="K65:L65"/>
    <mergeCell ref="M65:N65"/>
    <mergeCell ref="O65:Q65"/>
    <mergeCell ref="R65:T65"/>
    <mergeCell ref="A66:B66"/>
    <mergeCell ref="C66:D66"/>
    <mergeCell ref="F66:J66"/>
    <mergeCell ref="K66:L66"/>
    <mergeCell ref="M66:N66"/>
    <mergeCell ref="O66:Q66"/>
    <mergeCell ref="R66:T66"/>
    <mergeCell ref="A67:B67"/>
    <mergeCell ref="C67:D67"/>
    <mergeCell ref="F67:J67"/>
    <mergeCell ref="K67:L67"/>
    <mergeCell ref="M67:N67"/>
    <mergeCell ref="O67:Q67"/>
    <mergeCell ref="R67:T67"/>
    <mergeCell ref="A68:B68"/>
    <mergeCell ref="C68:D68"/>
    <mergeCell ref="F68:J68"/>
    <mergeCell ref="K68:L68"/>
    <mergeCell ref="M68:N68"/>
    <mergeCell ref="O68:Q68"/>
    <mergeCell ref="R68:T68"/>
    <mergeCell ref="A69:B69"/>
    <mergeCell ref="C69:D69"/>
    <mergeCell ref="F69:J69"/>
    <mergeCell ref="K69:L69"/>
    <mergeCell ref="M69:N69"/>
    <mergeCell ref="O69:Q69"/>
    <mergeCell ref="R69:T69"/>
    <mergeCell ref="A70:B70"/>
    <mergeCell ref="C70:D70"/>
    <mergeCell ref="F70:J70"/>
    <mergeCell ref="K70:L70"/>
    <mergeCell ref="M70:N70"/>
    <mergeCell ref="O70:Q70"/>
    <mergeCell ref="R70:T70"/>
    <mergeCell ref="A71:B71"/>
    <mergeCell ref="C71:D71"/>
    <mergeCell ref="F71:J71"/>
    <mergeCell ref="K71:L71"/>
    <mergeCell ref="M71:N71"/>
    <mergeCell ref="O71:Q71"/>
    <mergeCell ref="R71:T71"/>
    <mergeCell ref="A72:B72"/>
    <mergeCell ref="C72:D72"/>
    <mergeCell ref="F72:J72"/>
    <mergeCell ref="K72:L72"/>
    <mergeCell ref="M72:N72"/>
    <mergeCell ref="O72:Q72"/>
    <mergeCell ref="R72:T72"/>
    <mergeCell ref="A73:B73"/>
    <mergeCell ref="C73:D73"/>
    <mergeCell ref="F73:J73"/>
    <mergeCell ref="K73:L73"/>
    <mergeCell ref="M73:N73"/>
    <mergeCell ref="O73:Q73"/>
    <mergeCell ref="R73:T73"/>
    <mergeCell ref="A74:B74"/>
    <mergeCell ref="C74:D74"/>
    <mergeCell ref="F74:J74"/>
    <mergeCell ref="K74:L74"/>
    <mergeCell ref="M74:N74"/>
    <mergeCell ref="O74:Q74"/>
    <mergeCell ref="R74:T74"/>
    <mergeCell ref="A75:B75"/>
    <mergeCell ref="C75:D75"/>
    <mergeCell ref="F75:J75"/>
    <mergeCell ref="K75:L75"/>
    <mergeCell ref="M75:N75"/>
    <mergeCell ref="O75:Q75"/>
    <mergeCell ref="R75:T75"/>
    <mergeCell ref="A76:B76"/>
    <mergeCell ref="C76:D76"/>
    <mergeCell ref="F76:J76"/>
    <mergeCell ref="K76:L76"/>
    <mergeCell ref="M76:N76"/>
    <mergeCell ref="O76:Q76"/>
    <mergeCell ref="R76:T76"/>
    <mergeCell ref="A77:B77"/>
    <mergeCell ref="C77:D77"/>
    <mergeCell ref="F77:J77"/>
    <mergeCell ref="K77:L77"/>
    <mergeCell ref="M77:N77"/>
    <mergeCell ref="O77:Q77"/>
    <mergeCell ref="R77:T77"/>
    <mergeCell ref="A78:B78"/>
    <mergeCell ref="C78:D78"/>
    <mergeCell ref="F78:J78"/>
    <mergeCell ref="K78:L78"/>
    <mergeCell ref="M78:N78"/>
    <mergeCell ref="O78:Q78"/>
    <mergeCell ref="R78:T78"/>
    <mergeCell ref="A79:B79"/>
    <mergeCell ref="C79:D79"/>
    <mergeCell ref="F79:J79"/>
    <mergeCell ref="K79:L79"/>
    <mergeCell ref="M79:N79"/>
    <mergeCell ref="O79:Q79"/>
    <mergeCell ref="R79:T79"/>
    <mergeCell ref="A80:B80"/>
    <mergeCell ref="C80:D80"/>
    <mergeCell ref="F80:J80"/>
    <mergeCell ref="K80:L80"/>
    <mergeCell ref="M80:N80"/>
    <mergeCell ref="O80:Q80"/>
    <mergeCell ref="R80:T80"/>
    <mergeCell ref="A81:B81"/>
    <mergeCell ref="C81:D81"/>
    <mergeCell ref="F81:J81"/>
    <mergeCell ref="K81:L81"/>
    <mergeCell ref="M81:N81"/>
    <mergeCell ref="O81:Q81"/>
    <mergeCell ref="R81:T81"/>
    <mergeCell ref="A82:B82"/>
    <mergeCell ref="C82:D82"/>
    <mergeCell ref="F82:J82"/>
    <mergeCell ref="K82:L82"/>
    <mergeCell ref="M82:N82"/>
    <mergeCell ref="O82:Q82"/>
    <mergeCell ref="R82:T82"/>
    <mergeCell ref="A83:B83"/>
    <mergeCell ref="C83:D83"/>
    <mergeCell ref="F83:J83"/>
    <mergeCell ref="K83:L83"/>
    <mergeCell ref="M83:N83"/>
    <mergeCell ref="O83:Q83"/>
    <mergeCell ref="R83:T83"/>
    <mergeCell ref="A84:B84"/>
    <mergeCell ref="C84:D84"/>
    <mergeCell ref="F84:J84"/>
    <mergeCell ref="K84:L84"/>
    <mergeCell ref="M84:N84"/>
    <mergeCell ref="O84:Q84"/>
    <mergeCell ref="R84:T84"/>
    <mergeCell ref="A85:B85"/>
    <mergeCell ref="C85:D85"/>
    <mergeCell ref="F85:J85"/>
    <mergeCell ref="K85:L85"/>
    <mergeCell ref="M85:N85"/>
    <mergeCell ref="O85:Q85"/>
    <mergeCell ref="R85:T85"/>
    <mergeCell ref="A86:B86"/>
    <mergeCell ref="C86:D86"/>
    <mergeCell ref="F86:J86"/>
    <mergeCell ref="K86:L86"/>
    <mergeCell ref="M86:N86"/>
    <mergeCell ref="O86:Q86"/>
    <mergeCell ref="R86:T86"/>
    <mergeCell ref="A87:J87"/>
    <mergeCell ref="K87:L87"/>
    <mergeCell ref="M87:N87"/>
    <mergeCell ref="O87:T87"/>
    <mergeCell ref="B93:F93"/>
    <mergeCell ref="G93:I93"/>
    <mergeCell ref="J93:L93"/>
    <mergeCell ref="N93:R93"/>
    <mergeCell ref="S93:U93"/>
    <mergeCell ref="V93:X93"/>
    <mergeCell ref="B94:F94"/>
    <mergeCell ref="G94:I94"/>
    <mergeCell ref="J94:L94"/>
    <mergeCell ref="N94:R94"/>
    <mergeCell ref="S94:U94"/>
    <mergeCell ref="V94:X94"/>
    <mergeCell ref="B95:F95"/>
    <mergeCell ref="G95:I95"/>
    <mergeCell ref="J95:L95"/>
    <mergeCell ref="N95:R95"/>
    <mergeCell ref="S95:U95"/>
    <mergeCell ref="V95:X95"/>
    <mergeCell ref="B96:F96"/>
    <mergeCell ref="G96:I96"/>
    <mergeCell ref="J96:L96"/>
    <mergeCell ref="N96:R96"/>
    <mergeCell ref="S96:U96"/>
    <mergeCell ref="V96:X96"/>
    <mergeCell ref="A99:E99"/>
    <mergeCell ref="F99:M99"/>
    <mergeCell ref="N99:X99"/>
    <mergeCell ref="A100:D100"/>
    <mergeCell ref="E100:K100"/>
    <mergeCell ref="L100:P100"/>
    <mergeCell ref="Q100:X100"/>
    <mergeCell ref="A101:D101"/>
    <mergeCell ref="E101:K101"/>
    <mergeCell ref="L101:P101"/>
    <mergeCell ref="Q101:S101"/>
    <mergeCell ref="U101:W101"/>
    <mergeCell ref="A104:O104"/>
    <mergeCell ref="P104:S104"/>
    <mergeCell ref="T104:X104"/>
    <mergeCell ref="A105:O105"/>
    <mergeCell ref="P105:S105"/>
    <mergeCell ref="T105:X105"/>
    <mergeCell ref="A106:O106"/>
    <mergeCell ref="P106:S106"/>
    <mergeCell ref="T106:X106"/>
    <mergeCell ref="A107:O107"/>
    <mergeCell ref="P107:S107"/>
    <mergeCell ref="T107:X107"/>
    <mergeCell ref="P108:S108"/>
    <mergeCell ref="T108:X108"/>
    <mergeCell ref="A110:E110"/>
    <mergeCell ref="F110:M110"/>
    <mergeCell ref="N110:X110"/>
    <mergeCell ref="A111:D111"/>
    <mergeCell ref="E111:K111"/>
    <mergeCell ref="L111:P111"/>
    <mergeCell ref="Q111:X111"/>
    <mergeCell ref="A112:D112"/>
    <mergeCell ref="E112:K112"/>
    <mergeCell ref="L112:P112"/>
    <mergeCell ref="Q112:S112"/>
    <mergeCell ref="U112:W112"/>
    <mergeCell ref="U114:X114"/>
    <mergeCell ref="U115:X118"/>
    <mergeCell ref="A122:X122"/>
    <mergeCell ref="A123:X123"/>
    <mergeCell ref="A124:X124"/>
    <mergeCell ref="A125:X125"/>
    <mergeCell ref="A127:B127"/>
    <mergeCell ref="C127:D127"/>
    <mergeCell ref="F127:I127"/>
    <mergeCell ref="J127:M127"/>
    <mergeCell ref="N127:P127"/>
    <mergeCell ref="R127:T127"/>
    <mergeCell ref="U127:V127"/>
    <mergeCell ref="W127:X127"/>
    <mergeCell ref="A128:B128"/>
    <mergeCell ref="C128:D128"/>
    <mergeCell ref="F128:I128"/>
    <mergeCell ref="J128:M128"/>
    <mergeCell ref="N128:P128"/>
    <mergeCell ref="A129:B129"/>
    <mergeCell ref="C129:D129"/>
    <mergeCell ref="F129:I129"/>
    <mergeCell ref="J129:M129"/>
    <mergeCell ref="N129:P129"/>
    <mergeCell ref="A130:B130"/>
    <mergeCell ref="C130:D130"/>
    <mergeCell ref="F130:I130"/>
    <mergeCell ref="J130:M130"/>
    <mergeCell ref="N130:P130"/>
    <mergeCell ref="A131:B131"/>
    <mergeCell ref="C131:D131"/>
    <mergeCell ref="F131:I131"/>
    <mergeCell ref="J131:M131"/>
    <mergeCell ref="N131:P131"/>
    <mergeCell ref="A132:B132"/>
    <mergeCell ref="C132:D132"/>
    <mergeCell ref="F132:I132"/>
    <mergeCell ref="J132:M132"/>
    <mergeCell ref="N132:P132"/>
    <mergeCell ref="A133:B133"/>
    <mergeCell ref="C133:D133"/>
    <mergeCell ref="F133:I133"/>
    <mergeCell ref="J133:M133"/>
    <mergeCell ref="N133:P133"/>
    <mergeCell ref="A134:B134"/>
    <mergeCell ref="C134:D134"/>
    <mergeCell ref="F134:I134"/>
    <mergeCell ref="J134:M134"/>
    <mergeCell ref="N134:P134"/>
    <mergeCell ref="A135:B135"/>
    <mergeCell ref="C135:D135"/>
    <mergeCell ref="F135:I135"/>
    <mergeCell ref="J135:M135"/>
    <mergeCell ref="N135:P135"/>
    <mergeCell ref="A136:B136"/>
    <mergeCell ref="C136:D136"/>
    <mergeCell ref="F136:I136"/>
    <mergeCell ref="J136:M136"/>
    <mergeCell ref="N136:P136"/>
    <mergeCell ref="A137:B137"/>
    <mergeCell ref="C137:D137"/>
    <mergeCell ref="F137:I137"/>
    <mergeCell ref="J137:M137"/>
    <mergeCell ref="N137:P137"/>
    <mergeCell ref="A138:B138"/>
    <mergeCell ref="C138:D138"/>
    <mergeCell ref="F138:I138"/>
    <mergeCell ref="J138:M138"/>
    <mergeCell ref="N138:P138"/>
    <mergeCell ref="A139:B139"/>
    <mergeCell ref="C139:D139"/>
    <mergeCell ref="F139:I139"/>
    <mergeCell ref="J139:M139"/>
    <mergeCell ref="N139:P139"/>
    <mergeCell ref="A140:B140"/>
    <mergeCell ref="C140:D140"/>
    <mergeCell ref="F140:I140"/>
    <mergeCell ref="J140:M140"/>
    <mergeCell ref="N140:P140"/>
    <mergeCell ref="A141:B141"/>
    <mergeCell ref="C141:D141"/>
    <mergeCell ref="F141:I141"/>
    <mergeCell ref="J141:M141"/>
    <mergeCell ref="N141:P141"/>
    <mergeCell ref="A142:B142"/>
    <mergeCell ref="C142:D142"/>
    <mergeCell ref="F142:I142"/>
    <mergeCell ref="J142:M142"/>
    <mergeCell ref="N142:P142"/>
    <mergeCell ref="A143:I143"/>
    <mergeCell ref="J143:M143"/>
    <mergeCell ref="N143:Q143"/>
    <mergeCell ref="M147:O147"/>
    <mergeCell ref="L148:M148"/>
    <mergeCell ref="N148:P148"/>
    <mergeCell ref="Q148:R148"/>
    <mergeCell ref="S148:V148"/>
    <mergeCell ref="A151:E151"/>
    <mergeCell ref="F151:M151"/>
    <mergeCell ref="N151:X151"/>
    <mergeCell ref="A152:D152"/>
    <mergeCell ref="E152:K152"/>
    <mergeCell ref="L152:P152"/>
    <mergeCell ref="Q152:X152"/>
    <mergeCell ref="A153:D153"/>
    <mergeCell ref="E153:K153"/>
    <mergeCell ref="L153:P153"/>
    <mergeCell ref="Q153:S153"/>
    <mergeCell ref="U153:W153"/>
    <mergeCell ref="B159:D159"/>
    <mergeCell ref="E159:G159"/>
    <mergeCell ref="H159:J159"/>
    <mergeCell ref="K159:N159"/>
    <mergeCell ref="O159:Q159"/>
    <mergeCell ref="R159:U159"/>
    <mergeCell ref="A161:D161"/>
    <mergeCell ref="E161:G161"/>
    <mergeCell ref="H161:L161"/>
    <mergeCell ref="M161:O161"/>
    <mergeCell ref="P161:R161"/>
    <mergeCell ref="S161:T161"/>
    <mergeCell ref="U161:V161"/>
    <mergeCell ref="W161:X161"/>
    <mergeCell ref="A162:D162"/>
    <mergeCell ref="E162:G162"/>
    <mergeCell ref="H162:L162"/>
    <mergeCell ref="M162:O162"/>
    <mergeCell ref="P162:R162"/>
    <mergeCell ref="S162:T162"/>
    <mergeCell ref="U162:V162"/>
    <mergeCell ref="W162:X168"/>
    <mergeCell ref="A163:D163"/>
    <mergeCell ref="E163:G163"/>
    <mergeCell ref="H163:L163"/>
    <mergeCell ref="M163:O163"/>
    <mergeCell ref="P163:R163"/>
    <mergeCell ref="S163:T163"/>
    <mergeCell ref="U163:V163"/>
    <mergeCell ref="A164:D164"/>
    <mergeCell ref="E164:G164"/>
    <mergeCell ref="H164:L164"/>
    <mergeCell ref="M164:O164"/>
    <mergeCell ref="P164:R164"/>
    <mergeCell ref="S164:T164"/>
    <mergeCell ref="U164:V164"/>
    <mergeCell ref="A165:D165"/>
    <mergeCell ref="E165:G165"/>
    <mergeCell ref="H165:L165"/>
    <mergeCell ref="M165:O165"/>
    <mergeCell ref="P165:R165"/>
    <mergeCell ref="S165:T165"/>
    <mergeCell ref="U165:V165"/>
    <mergeCell ref="A166:D166"/>
    <mergeCell ref="E166:G166"/>
    <mergeCell ref="H166:L166"/>
    <mergeCell ref="M166:O166"/>
    <mergeCell ref="P166:R166"/>
    <mergeCell ref="S166:T166"/>
    <mergeCell ref="U166:V166"/>
    <mergeCell ref="A167:D167"/>
    <mergeCell ref="E167:G167"/>
    <mergeCell ref="H167:L167"/>
    <mergeCell ref="M167:O167"/>
    <mergeCell ref="P167:R167"/>
    <mergeCell ref="S167:T167"/>
    <mergeCell ref="U167:V167"/>
    <mergeCell ref="A168:D168"/>
    <mergeCell ref="E168:G168"/>
    <mergeCell ref="H168:L168"/>
    <mergeCell ref="M168:O168"/>
    <mergeCell ref="P168:R168"/>
    <mergeCell ref="S168:T168"/>
    <mergeCell ref="U168:V168"/>
    <mergeCell ref="B171:D171"/>
    <mergeCell ref="E171:H171"/>
    <mergeCell ref="I171:K171"/>
    <mergeCell ref="L171:Q171"/>
    <mergeCell ref="R171:T171"/>
    <mergeCell ref="U171:W171"/>
    <mergeCell ref="R175:T175"/>
    <mergeCell ref="U175:V175"/>
    <mergeCell ref="W175:X175"/>
    <mergeCell ref="B176:F176"/>
    <mergeCell ref="G176:Q176"/>
    <mergeCell ref="R176:T179"/>
    <mergeCell ref="U176:V179"/>
    <mergeCell ref="W176:X179"/>
    <mergeCell ref="B177:F177"/>
    <mergeCell ref="G177:Q177"/>
    <mergeCell ref="B178:C178"/>
    <mergeCell ref="D178:F178"/>
    <mergeCell ref="G178:L178"/>
    <mergeCell ref="M178:Q178"/>
    <mergeCell ref="B179:F179"/>
    <mergeCell ref="G179:Q179"/>
    <mergeCell ref="B182:D182"/>
    <mergeCell ref="K182:M182"/>
    <mergeCell ref="N182:U182"/>
    <mergeCell ref="B183:D183"/>
    <mergeCell ref="E183:J183"/>
    <mergeCell ref="K183:M183"/>
    <mergeCell ref="N183:U183"/>
    <mergeCell ref="A186:E186"/>
    <mergeCell ref="F186:M186"/>
    <mergeCell ref="N186:X186"/>
    <mergeCell ref="A187:D187"/>
    <mergeCell ref="E187:K187"/>
    <mergeCell ref="L187:P187"/>
    <mergeCell ref="Q187:X187"/>
    <mergeCell ref="A188:D188"/>
    <mergeCell ref="E188:K188"/>
    <mergeCell ref="L188:P188"/>
    <mergeCell ref="Q188:S188"/>
    <mergeCell ref="U188:W188"/>
    <mergeCell ref="A191:O191"/>
    <mergeCell ref="P191:S191"/>
    <mergeCell ref="T191:X191"/>
    <mergeCell ref="A192:O192"/>
    <mergeCell ref="P192:S192"/>
    <mergeCell ref="T192:X192"/>
    <mergeCell ref="A193:O193"/>
    <mergeCell ref="P193:S193"/>
    <mergeCell ref="T193:X193"/>
    <mergeCell ref="A194:O194"/>
    <mergeCell ref="P194:S194"/>
    <mergeCell ref="T194:X194"/>
    <mergeCell ref="P195:S195"/>
    <mergeCell ref="T195:X195"/>
    <mergeCell ref="A197:E197"/>
    <mergeCell ref="F197:M197"/>
    <mergeCell ref="N197:X197"/>
    <mergeCell ref="A198:D198"/>
    <mergeCell ref="E198:K198"/>
    <mergeCell ref="L198:P198"/>
    <mergeCell ref="Q198:X198"/>
    <mergeCell ref="A199:D199"/>
    <mergeCell ref="E199:K199"/>
    <mergeCell ref="L199:P199"/>
    <mergeCell ref="Q199:S199"/>
    <mergeCell ref="U199:W199"/>
    <mergeCell ref="U201:X201"/>
    <mergeCell ref="U202:X206"/>
    <mergeCell ref="A210:X210"/>
    <mergeCell ref="B212:D212"/>
    <mergeCell ref="E212:I212"/>
    <mergeCell ref="J212:P212"/>
    <mergeCell ref="R212:T212"/>
    <mergeCell ref="U212:V212"/>
    <mergeCell ref="W212:X212"/>
    <mergeCell ref="B213:D213"/>
    <mergeCell ref="E213:I213"/>
    <mergeCell ref="J213:P213"/>
    <mergeCell ref="R213:T216"/>
    <mergeCell ref="U213:V216"/>
    <mergeCell ref="W213:X216"/>
    <mergeCell ref="B214:D214"/>
    <mergeCell ref="E214:I214"/>
    <mergeCell ref="J214:P214"/>
    <mergeCell ref="B215:D215"/>
    <mergeCell ref="E215:I215"/>
    <mergeCell ref="J215:P215"/>
    <mergeCell ref="B216:D216"/>
    <mergeCell ref="E216:I216"/>
    <mergeCell ref="J216:P216"/>
    <mergeCell ref="M220:O220"/>
    <mergeCell ref="L221:M221"/>
    <mergeCell ref="N221:P221"/>
    <mergeCell ref="Q221:R221"/>
    <mergeCell ref="S221:V221"/>
    <mergeCell ref="A224:E224"/>
    <mergeCell ref="F224:M224"/>
    <mergeCell ref="N224:X224"/>
    <mergeCell ref="A225:D225"/>
    <mergeCell ref="E225:K225"/>
    <mergeCell ref="L225:P225"/>
    <mergeCell ref="Q225:X225"/>
    <mergeCell ref="A226:D226"/>
    <mergeCell ref="E226:K226"/>
    <mergeCell ref="L226:P226"/>
    <mergeCell ref="Q226:S226"/>
    <mergeCell ref="U226:W226"/>
    <mergeCell ref="B232:D232"/>
    <mergeCell ref="E232:G232"/>
    <mergeCell ref="H232:J232"/>
    <mergeCell ref="K232:N232"/>
    <mergeCell ref="O232:Q232"/>
    <mergeCell ref="R232:U232"/>
    <mergeCell ref="A234:D234"/>
    <mergeCell ref="E234:G234"/>
    <mergeCell ref="H234:L234"/>
    <mergeCell ref="M234:O234"/>
    <mergeCell ref="P234:R234"/>
    <mergeCell ref="S234:T234"/>
    <mergeCell ref="U234:V234"/>
    <mergeCell ref="W234:X234"/>
    <mergeCell ref="A235:D235"/>
    <mergeCell ref="E235:G235"/>
    <mergeCell ref="H235:L235"/>
    <mergeCell ref="M235:O235"/>
    <mergeCell ref="P235:R235"/>
    <mergeCell ref="S235:T235"/>
    <mergeCell ref="U235:V235"/>
    <mergeCell ref="W235:X235"/>
    <mergeCell ref="B238:D238"/>
    <mergeCell ref="E238:H238"/>
    <mergeCell ref="I238:K238"/>
    <mergeCell ref="L238:Q238"/>
    <mergeCell ref="R238:T238"/>
    <mergeCell ref="U238:W238"/>
    <mergeCell ref="R242:T242"/>
    <mergeCell ref="U242:V242"/>
    <mergeCell ref="W242:X242"/>
    <mergeCell ref="B243:F243"/>
    <mergeCell ref="G243:Q243"/>
    <mergeCell ref="R243:T246"/>
    <mergeCell ref="U243:V246"/>
    <mergeCell ref="W243:X246"/>
    <mergeCell ref="B244:F244"/>
    <mergeCell ref="G244:Q244"/>
    <mergeCell ref="B245:C245"/>
    <mergeCell ref="D245:F245"/>
    <mergeCell ref="G245:L245"/>
    <mergeCell ref="M245:Q245"/>
    <mergeCell ref="B246:F246"/>
    <mergeCell ref="G246:Q246"/>
    <mergeCell ref="B249:D249"/>
    <mergeCell ref="K249:M249"/>
    <mergeCell ref="N249:U249"/>
    <mergeCell ref="B250:D250"/>
    <mergeCell ref="E250:J250"/>
    <mergeCell ref="K250:M250"/>
    <mergeCell ref="N250:U250"/>
    <mergeCell ref="A253:E253"/>
    <mergeCell ref="F253:M253"/>
    <mergeCell ref="N253:X253"/>
    <mergeCell ref="A254:D254"/>
    <mergeCell ref="E254:K254"/>
    <mergeCell ref="L254:P254"/>
    <mergeCell ref="Q254:X254"/>
    <mergeCell ref="A255:D255"/>
    <mergeCell ref="E255:K255"/>
    <mergeCell ref="L255:P255"/>
    <mergeCell ref="Q255:S255"/>
    <mergeCell ref="U255:W255"/>
    <mergeCell ref="A258:O258"/>
    <mergeCell ref="P258:S258"/>
    <mergeCell ref="T258:X258"/>
    <mergeCell ref="A259:O259"/>
    <mergeCell ref="P259:S259"/>
    <mergeCell ref="T259:X259"/>
    <mergeCell ref="A260:O260"/>
    <mergeCell ref="P260:S260"/>
    <mergeCell ref="T260:X260"/>
    <mergeCell ref="A261:O261"/>
    <mergeCell ref="P261:S261"/>
    <mergeCell ref="T261:X261"/>
    <mergeCell ref="P262:S262"/>
    <mergeCell ref="T262:X262"/>
    <mergeCell ref="A264:E264"/>
    <mergeCell ref="F264:M264"/>
    <mergeCell ref="N264:X264"/>
    <mergeCell ref="A265:D265"/>
    <mergeCell ref="E265:K265"/>
    <mergeCell ref="L265:P265"/>
    <mergeCell ref="Q265:X265"/>
    <mergeCell ref="A266:D266"/>
    <mergeCell ref="E266:K266"/>
    <mergeCell ref="L266:P266"/>
    <mergeCell ref="Q266:S266"/>
    <mergeCell ref="U266:W266"/>
    <mergeCell ref="U268:X268"/>
    <mergeCell ref="U269:X272"/>
    <mergeCell ref="A276:X276"/>
    <mergeCell ref="A277:X277"/>
    <mergeCell ref="A279:B279"/>
    <mergeCell ref="C279:D279"/>
    <mergeCell ref="F279:I279"/>
    <mergeCell ref="J279:M279"/>
    <mergeCell ref="N279:P279"/>
    <mergeCell ref="R279:T279"/>
    <mergeCell ref="U279:V279"/>
    <mergeCell ref="W279:X279"/>
    <mergeCell ref="A280:B280"/>
    <mergeCell ref="C280:D280"/>
    <mergeCell ref="F280:I280"/>
    <mergeCell ref="J280:M280"/>
    <mergeCell ref="N280:P280"/>
    <mergeCell ref="R280:T289"/>
    <mergeCell ref="U280:V289"/>
    <mergeCell ref="W280:X289"/>
    <mergeCell ref="A281:B281"/>
    <mergeCell ref="C281:D281"/>
    <mergeCell ref="F281:I281"/>
    <mergeCell ref="J281:M281"/>
    <mergeCell ref="N281:P281"/>
    <mergeCell ref="A282:B282"/>
    <mergeCell ref="C282:D282"/>
    <mergeCell ref="F282:I282"/>
    <mergeCell ref="J282:M282"/>
    <mergeCell ref="N282:P282"/>
    <mergeCell ref="A283:I283"/>
    <mergeCell ref="J283:M283"/>
    <mergeCell ref="N283:Q283"/>
    <mergeCell ref="B285:D285"/>
    <mergeCell ref="E285:I285"/>
    <mergeCell ref="J285:P285"/>
    <mergeCell ref="B286:D286"/>
    <mergeCell ref="E286:I286"/>
    <mergeCell ref="J286:P286"/>
    <mergeCell ref="B287:D287"/>
    <mergeCell ref="E287:I287"/>
    <mergeCell ref="J287:P287"/>
    <mergeCell ref="B288:D288"/>
    <mergeCell ref="E288:I288"/>
    <mergeCell ref="J288:P288"/>
    <mergeCell ref="B289:D289"/>
    <mergeCell ref="E289:I289"/>
    <mergeCell ref="J289:P289"/>
    <mergeCell ref="A292:E292"/>
    <mergeCell ref="F292:M292"/>
    <mergeCell ref="N292:X292"/>
    <mergeCell ref="A293:D293"/>
    <mergeCell ref="E293:K293"/>
    <mergeCell ref="L293:P293"/>
    <mergeCell ref="Q293:X293"/>
    <mergeCell ref="A294:D294"/>
    <mergeCell ref="E294:K294"/>
    <mergeCell ref="L294:P294"/>
    <mergeCell ref="Q294:S294"/>
    <mergeCell ref="U294:W294"/>
    <mergeCell ref="A297:X297"/>
    <mergeCell ref="A298:X298"/>
    <mergeCell ref="A300:B300"/>
    <mergeCell ref="C300:D300"/>
    <mergeCell ref="F300:I300"/>
    <mergeCell ref="J300:M300"/>
    <mergeCell ref="N300:P300"/>
    <mergeCell ref="R300:T300"/>
    <mergeCell ref="U300:V300"/>
    <mergeCell ref="W300:X300"/>
    <mergeCell ref="A301:B301"/>
    <mergeCell ref="C301:D301"/>
    <mergeCell ref="F301:I301"/>
    <mergeCell ref="J301:M301"/>
    <mergeCell ref="N301:P301"/>
    <mergeCell ref="R301:T313"/>
    <mergeCell ref="U301:V313"/>
    <mergeCell ref="W301:X313"/>
    <mergeCell ref="A302:B302"/>
    <mergeCell ref="C302:D302"/>
    <mergeCell ref="F302:I302"/>
    <mergeCell ref="J302:M302"/>
    <mergeCell ref="N302:P302"/>
    <mergeCell ref="A303:B303"/>
    <mergeCell ref="C303:D303"/>
    <mergeCell ref="F303:I303"/>
    <mergeCell ref="J303:M303"/>
    <mergeCell ref="N303:P303"/>
    <mergeCell ref="A304:B304"/>
    <mergeCell ref="C304:D304"/>
    <mergeCell ref="F304:I304"/>
    <mergeCell ref="J304:M304"/>
    <mergeCell ref="N304:P304"/>
    <mergeCell ref="A305:B305"/>
    <mergeCell ref="C305:D305"/>
    <mergeCell ref="F305:I305"/>
    <mergeCell ref="J305:M305"/>
    <mergeCell ref="N305:P305"/>
    <mergeCell ref="A306:I306"/>
    <mergeCell ref="J306:M306"/>
    <mergeCell ref="N306:Q306"/>
    <mergeCell ref="B308:D308"/>
    <mergeCell ref="E308:I308"/>
    <mergeCell ref="J308:P308"/>
    <mergeCell ref="B309:D309"/>
    <mergeCell ref="E309:I309"/>
    <mergeCell ref="J309:P309"/>
    <mergeCell ref="B310:D310"/>
    <mergeCell ref="E310:I310"/>
    <mergeCell ref="J310:P310"/>
    <mergeCell ref="B311:D311"/>
    <mergeCell ref="E311:I311"/>
    <mergeCell ref="J311:P311"/>
    <mergeCell ref="B312:D312"/>
    <mergeCell ref="E312:I312"/>
    <mergeCell ref="J312:P312"/>
    <mergeCell ref="B313:D313"/>
    <mergeCell ref="E313:I313"/>
    <mergeCell ref="J313:P313"/>
    <mergeCell ref="A315:X315"/>
    <mergeCell ref="A318:E318"/>
    <mergeCell ref="F318:M318"/>
    <mergeCell ref="N318:X318"/>
    <mergeCell ref="A319:D319"/>
    <mergeCell ref="E319:K319"/>
    <mergeCell ref="L319:P319"/>
    <mergeCell ref="Q319:X319"/>
    <mergeCell ref="A320:D320"/>
    <mergeCell ref="E320:K320"/>
    <mergeCell ref="L320:P320"/>
    <mergeCell ref="Q320:S320"/>
    <mergeCell ref="U320:W320"/>
    <mergeCell ref="A323:X323"/>
    <mergeCell ref="A324:X324"/>
    <mergeCell ref="A326:B326"/>
    <mergeCell ref="C326:D326"/>
    <mergeCell ref="F326:I326"/>
    <mergeCell ref="J326:M326"/>
    <mergeCell ref="N326:P326"/>
    <mergeCell ref="R326:T326"/>
    <mergeCell ref="U326:V326"/>
    <mergeCell ref="W326:X326"/>
    <mergeCell ref="A327:B327"/>
    <mergeCell ref="C327:D327"/>
    <mergeCell ref="F327:I327"/>
    <mergeCell ref="J327:M327"/>
    <mergeCell ref="N327:P327"/>
    <mergeCell ref="R327:T334"/>
    <mergeCell ref="U327:V334"/>
    <mergeCell ref="W327:X334"/>
    <mergeCell ref="A328:I328"/>
    <mergeCell ref="J328:M328"/>
    <mergeCell ref="N328:Q328"/>
    <mergeCell ref="B330:D330"/>
    <mergeCell ref="E330:I330"/>
    <mergeCell ref="J330:P330"/>
    <mergeCell ref="B331:D331"/>
    <mergeCell ref="E331:I331"/>
    <mergeCell ref="J331:P331"/>
    <mergeCell ref="B332:D332"/>
    <mergeCell ref="E332:I332"/>
    <mergeCell ref="J332:P332"/>
    <mergeCell ref="B333:D333"/>
    <mergeCell ref="E333:I333"/>
    <mergeCell ref="J333:P333"/>
    <mergeCell ref="B334:D334"/>
    <mergeCell ref="E334:I334"/>
    <mergeCell ref="J334:P334"/>
    <mergeCell ref="M338:O338"/>
    <mergeCell ref="L339:M339"/>
    <mergeCell ref="N339:P339"/>
    <mergeCell ref="Q339:R339"/>
    <mergeCell ref="S339:V339"/>
    <mergeCell ref="A342:E342"/>
    <mergeCell ref="F342:M342"/>
    <mergeCell ref="N342:X342"/>
    <mergeCell ref="A343:D343"/>
    <mergeCell ref="E343:K343"/>
    <mergeCell ref="L343:P343"/>
    <mergeCell ref="Q343:X343"/>
    <mergeCell ref="A344:D344"/>
    <mergeCell ref="E344:K344"/>
    <mergeCell ref="L344:P344"/>
    <mergeCell ref="Q344:S344"/>
    <mergeCell ref="U344:W344"/>
    <mergeCell ref="B350:D350"/>
    <mergeCell ref="E350:G350"/>
    <mergeCell ref="H350:J350"/>
    <mergeCell ref="K350:N350"/>
    <mergeCell ref="O350:Q350"/>
    <mergeCell ref="R350:U350"/>
    <mergeCell ref="A352:D352"/>
    <mergeCell ref="E352:G352"/>
    <mergeCell ref="H352:L352"/>
    <mergeCell ref="M352:O352"/>
    <mergeCell ref="P352:R352"/>
    <mergeCell ref="S352:T352"/>
    <mergeCell ref="U352:V352"/>
    <mergeCell ref="W352:X352"/>
    <mergeCell ref="A353:D353"/>
    <mergeCell ref="E353:G353"/>
    <mergeCell ref="H353:L353"/>
    <mergeCell ref="M353:O353"/>
    <mergeCell ref="P353:R353"/>
    <mergeCell ref="S353:T353"/>
    <mergeCell ref="U353:V353"/>
    <mergeCell ref="W353:X358"/>
    <mergeCell ref="A354:D354"/>
    <mergeCell ref="E354:G354"/>
    <mergeCell ref="H354:L354"/>
    <mergeCell ref="M354:O354"/>
    <mergeCell ref="P354:R354"/>
    <mergeCell ref="S354:T354"/>
    <mergeCell ref="U354:V354"/>
    <mergeCell ref="A355:D355"/>
    <mergeCell ref="E355:G355"/>
    <mergeCell ref="H355:L355"/>
    <mergeCell ref="M355:O355"/>
    <mergeCell ref="P355:R355"/>
    <mergeCell ref="S355:T355"/>
    <mergeCell ref="U355:V355"/>
    <mergeCell ref="A356:D356"/>
    <mergeCell ref="E356:G356"/>
    <mergeCell ref="H356:L356"/>
    <mergeCell ref="M356:O356"/>
    <mergeCell ref="P356:R356"/>
    <mergeCell ref="S356:T356"/>
    <mergeCell ref="U356:V356"/>
    <mergeCell ref="A357:D357"/>
    <mergeCell ref="E357:G357"/>
    <mergeCell ref="H357:L357"/>
    <mergeCell ref="M357:O357"/>
    <mergeCell ref="P357:R357"/>
    <mergeCell ref="S357:T357"/>
    <mergeCell ref="U357:V357"/>
    <mergeCell ref="A358:D358"/>
    <mergeCell ref="E358:G358"/>
    <mergeCell ref="H358:L358"/>
    <mergeCell ref="M358:O358"/>
    <mergeCell ref="P358:R358"/>
    <mergeCell ref="S358:T358"/>
    <mergeCell ref="U358:V358"/>
    <mergeCell ref="B361:D361"/>
    <mergeCell ref="E361:H361"/>
    <mergeCell ref="I361:K361"/>
    <mergeCell ref="L361:Q361"/>
    <mergeCell ref="R361:T361"/>
    <mergeCell ref="U361:W361"/>
    <mergeCell ref="R365:T365"/>
    <mergeCell ref="U365:V365"/>
    <mergeCell ref="W365:X365"/>
    <mergeCell ref="B366:F366"/>
    <mergeCell ref="G366:Q366"/>
    <mergeCell ref="R366:T369"/>
    <mergeCell ref="U366:V369"/>
    <mergeCell ref="W366:X369"/>
    <mergeCell ref="B367:F367"/>
    <mergeCell ref="G367:Q367"/>
    <mergeCell ref="B368:C368"/>
    <mergeCell ref="D368:F368"/>
    <mergeCell ref="G368:L368"/>
    <mergeCell ref="M368:Q368"/>
    <mergeCell ref="B369:F369"/>
    <mergeCell ref="G369:Q369"/>
    <mergeCell ref="B372:D372"/>
    <mergeCell ref="K372:M372"/>
    <mergeCell ref="N372:U372"/>
    <mergeCell ref="B373:D373"/>
    <mergeCell ref="E373:J373"/>
    <mergeCell ref="K373:M373"/>
    <mergeCell ref="N373:U373"/>
    <mergeCell ref="A376:E376"/>
    <mergeCell ref="F376:M376"/>
    <mergeCell ref="N376:X376"/>
    <mergeCell ref="A377:D377"/>
    <mergeCell ref="E377:K377"/>
    <mergeCell ref="L377:P377"/>
    <mergeCell ref="Q377:X377"/>
    <mergeCell ref="A378:D378"/>
    <mergeCell ref="E378:K378"/>
    <mergeCell ref="L378:P378"/>
    <mergeCell ref="Q378:S378"/>
    <mergeCell ref="U378:W378"/>
    <mergeCell ref="A381:O381"/>
    <mergeCell ref="P381:S381"/>
    <mergeCell ref="T381:X381"/>
    <mergeCell ref="A382:O382"/>
    <mergeCell ref="P382:S382"/>
    <mergeCell ref="A383:O383"/>
    <mergeCell ref="P383:S383"/>
    <mergeCell ref="A384:O384"/>
    <mergeCell ref="P384:S384"/>
    <mergeCell ref="P385:S385"/>
    <mergeCell ref="A397:E397"/>
    <mergeCell ref="F397:M397"/>
    <mergeCell ref="N397:X397"/>
    <mergeCell ref="A398:D398"/>
    <mergeCell ref="E398:K398"/>
    <mergeCell ref="L398:P398"/>
    <mergeCell ref="Q398:X398"/>
    <mergeCell ref="A399:D399"/>
    <mergeCell ref="E399:K399"/>
    <mergeCell ref="L399:P399"/>
    <mergeCell ref="Q399:S399"/>
    <mergeCell ref="U399:W399"/>
    <mergeCell ref="U401:X401"/>
    <mergeCell ref="U402:X406"/>
    <mergeCell ref="N406:P406"/>
    <mergeCell ref="B413:E413"/>
    <mergeCell ref="F413:I413"/>
    <mergeCell ref="J413:M413"/>
    <mergeCell ref="N413:Q413"/>
    <mergeCell ref="R413:U413"/>
    <mergeCell ref="B414:E414"/>
    <mergeCell ref="F414:I414"/>
    <mergeCell ref="J414:M414"/>
    <mergeCell ref="N414:Q414"/>
    <mergeCell ref="R414:U414"/>
    <mergeCell ref="A417:C417"/>
    <mergeCell ref="D417:P417"/>
    <mergeCell ref="R417:T417"/>
    <mergeCell ref="U417:V417"/>
    <mergeCell ref="W417:X417"/>
    <mergeCell ref="A418:C418"/>
    <mergeCell ref="D418:P418"/>
    <mergeCell ref="R418:T438"/>
    <mergeCell ref="U418:V438"/>
    <mergeCell ref="W418:X438"/>
    <mergeCell ref="A420:C420"/>
    <mergeCell ref="D420:J420"/>
    <mergeCell ref="K420:P420"/>
    <mergeCell ref="A421:C421"/>
    <mergeCell ref="D421:J421"/>
    <mergeCell ref="K421:P421"/>
    <mergeCell ref="A422:C422"/>
    <mergeCell ref="D422:J422"/>
    <mergeCell ref="K422:P422"/>
    <mergeCell ref="A423:C423"/>
    <mergeCell ref="D423:J423"/>
    <mergeCell ref="K423:P423"/>
    <mergeCell ref="A424:C425"/>
    <mergeCell ref="D424:E425"/>
    <mergeCell ref="F424:F425"/>
    <mergeCell ref="G424:G425"/>
    <mergeCell ref="K424:P425"/>
    <mergeCell ref="Q424:Q425"/>
    <mergeCell ref="A427:P427"/>
    <mergeCell ref="Q427:Q428"/>
    <mergeCell ref="A428:D428"/>
    <mergeCell ref="E428:H428"/>
    <mergeCell ref="I428:L428"/>
    <mergeCell ref="M428:P428"/>
    <mergeCell ref="A429:B438"/>
    <mergeCell ref="C429:D429"/>
    <mergeCell ref="E429:H429"/>
    <mergeCell ref="I429:J438"/>
    <mergeCell ref="K429:L433"/>
    <mergeCell ref="M429:P433"/>
    <mergeCell ref="Q429:Q438"/>
    <mergeCell ref="C430:D430"/>
    <mergeCell ref="E430:H430"/>
    <mergeCell ref="C431:D431"/>
    <mergeCell ref="E431:H431"/>
    <mergeCell ref="C432:D432"/>
    <mergeCell ref="E432:H432"/>
    <mergeCell ref="C433:D433"/>
    <mergeCell ref="E433:H433"/>
    <mergeCell ref="C434:D434"/>
    <mergeCell ref="E434:H434"/>
    <mergeCell ref="K434:L438"/>
    <mergeCell ref="M434:P438"/>
    <mergeCell ref="C435:D435"/>
    <mergeCell ref="E435:H435"/>
    <mergeCell ref="C436:D436"/>
    <mergeCell ref="E436:H436"/>
    <mergeCell ref="C437:D437"/>
    <mergeCell ref="E437:H437"/>
    <mergeCell ref="C438:D438"/>
    <mergeCell ref="E438:H438"/>
    <mergeCell ref="A440:E440"/>
    <mergeCell ref="F440:M440"/>
    <mergeCell ref="N440:X440"/>
    <mergeCell ref="A441:D441"/>
    <mergeCell ref="E441:K441"/>
    <mergeCell ref="L441:P441"/>
    <mergeCell ref="Q441:X441"/>
    <mergeCell ref="A442:D442"/>
    <mergeCell ref="E442:K442"/>
    <mergeCell ref="L442:P442"/>
    <mergeCell ref="Q442:S442"/>
    <mergeCell ref="U442:W442"/>
    <mergeCell ref="M445:O445"/>
    <mergeCell ref="Q445:X445"/>
    <mergeCell ref="M446:O446"/>
    <mergeCell ref="Q446:X446"/>
    <mergeCell ref="L447:M447"/>
    <mergeCell ref="N447:P447"/>
    <mergeCell ref="Q447:R447"/>
    <mergeCell ref="S447:V447"/>
    <mergeCell ref="B452:C452"/>
    <mergeCell ref="D452:G452"/>
    <mergeCell ref="H452:J452"/>
    <mergeCell ref="K452:O452"/>
    <mergeCell ref="P452:R452"/>
    <mergeCell ref="S452:V452"/>
    <mergeCell ref="A454:D454"/>
    <mergeCell ref="E454:G454"/>
    <mergeCell ref="H454:L454"/>
    <mergeCell ref="M454:O454"/>
    <mergeCell ref="P454:R454"/>
    <mergeCell ref="S454:T454"/>
    <mergeCell ref="U454:V454"/>
    <mergeCell ref="W454:X454"/>
    <mergeCell ref="A455:D455"/>
    <mergeCell ref="E455:G455"/>
    <mergeCell ref="H455:L455"/>
    <mergeCell ref="M455:O455"/>
    <mergeCell ref="P455:R455"/>
    <mergeCell ref="S455:T455"/>
    <mergeCell ref="U455:V455"/>
    <mergeCell ref="W455:X456"/>
    <mergeCell ref="A456:D456"/>
    <mergeCell ref="E456:G456"/>
    <mergeCell ref="H456:L456"/>
    <mergeCell ref="M456:O456"/>
    <mergeCell ref="P456:R456"/>
    <mergeCell ref="S456:T456"/>
    <mergeCell ref="U456:V456"/>
    <mergeCell ref="B459:D459"/>
    <mergeCell ref="E459:H459"/>
    <mergeCell ref="I459:K459"/>
    <mergeCell ref="L459:Q459"/>
    <mergeCell ref="R459:T459"/>
    <mergeCell ref="U459:X459"/>
    <mergeCell ref="R462:T462"/>
    <mergeCell ref="U462:V462"/>
    <mergeCell ref="W462:X462"/>
    <mergeCell ref="B463:F463"/>
    <mergeCell ref="G463:M463"/>
    <mergeCell ref="N463:Q463"/>
    <mergeCell ref="R463:T466"/>
    <mergeCell ref="U463:V466"/>
    <mergeCell ref="W463:X466"/>
    <mergeCell ref="B464:F464"/>
    <mergeCell ref="G464:M464"/>
    <mergeCell ref="N464:Q464"/>
    <mergeCell ref="B465:C465"/>
    <mergeCell ref="D465:F465"/>
    <mergeCell ref="G465:M465"/>
    <mergeCell ref="N465:Q465"/>
    <mergeCell ref="B466:F466"/>
    <mergeCell ref="G466:Q466"/>
    <mergeCell ref="B469:D469"/>
    <mergeCell ref="E469:J469"/>
    <mergeCell ref="K469:M469"/>
    <mergeCell ref="N469:U469"/>
    <mergeCell ref="B470:D470"/>
    <mergeCell ref="E470:J470"/>
    <mergeCell ref="K470:M470"/>
    <mergeCell ref="N470:U470"/>
    <mergeCell ref="A473:M473"/>
    <mergeCell ref="N473:X473"/>
    <mergeCell ref="A474:D474"/>
    <mergeCell ref="E474:K474"/>
    <mergeCell ref="L474:P474"/>
    <mergeCell ref="Q474:X474"/>
    <mergeCell ref="A475:D475"/>
    <mergeCell ref="E475:K475"/>
    <mergeCell ref="L475:P475"/>
    <mergeCell ref="Q475:S475"/>
    <mergeCell ref="U475:W475"/>
    <mergeCell ref="U477:X477"/>
    <mergeCell ref="U478:X479"/>
    <mergeCell ref="A481:B481"/>
    <mergeCell ref="D481:F481"/>
    <mergeCell ref="G481:H481"/>
    <mergeCell ref="J481:K481"/>
    <mergeCell ref="L481:M481"/>
    <mergeCell ref="N481:P481"/>
    <mergeCell ref="Q481:R481"/>
    <mergeCell ref="S481:T481"/>
    <mergeCell ref="U481:X481"/>
    <mergeCell ref="A482:B482"/>
    <mergeCell ref="D482:F482"/>
    <mergeCell ref="G482:H482"/>
    <mergeCell ref="J482:K482"/>
    <mergeCell ref="L482:M482"/>
    <mergeCell ref="N482:P482"/>
    <mergeCell ref="Q482:R482"/>
    <mergeCell ref="S482:T482"/>
    <mergeCell ref="U482:X482"/>
    <mergeCell ref="A483:B483"/>
    <mergeCell ref="D483:F483"/>
    <mergeCell ref="G483:H483"/>
    <mergeCell ref="J483:K483"/>
    <mergeCell ref="L483:M483"/>
    <mergeCell ref="N483:P483"/>
    <mergeCell ref="Q483:R483"/>
    <mergeCell ref="S483:T483"/>
    <mergeCell ref="U483:X483"/>
    <mergeCell ref="A484:B484"/>
    <mergeCell ref="D484:F484"/>
    <mergeCell ref="G484:H484"/>
    <mergeCell ref="J484:K484"/>
    <mergeCell ref="L484:M484"/>
    <mergeCell ref="N484:P484"/>
    <mergeCell ref="Q484:R484"/>
    <mergeCell ref="S484:T484"/>
    <mergeCell ref="U484:X484"/>
    <mergeCell ref="A485:B485"/>
    <mergeCell ref="D485:F485"/>
    <mergeCell ref="G485:H485"/>
    <mergeCell ref="J485:K485"/>
    <mergeCell ref="L485:M485"/>
    <mergeCell ref="N485:P485"/>
    <mergeCell ref="Q485:R485"/>
    <mergeCell ref="S485:T485"/>
    <mergeCell ref="U485:X485"/>
    <mergeCell ref="A486:B486"/>
    <mergeCell ref="D486:F486"/>
    <mergeCell ref="G486:H486"/>
    <mergeCell ref="J486:K486"/>
    <mergeCell ref="L486:M486"/>
    <mergeCell ref="N486:P486"/>
    <mergeCell ref="Q486:R486"/>
    <mergeCell ref="S486:T486"/>
    <mergeCell ref="U486:X486"/>
    <mergeCell ref="P488:R488"/>
    <mergeCell ref="S488:X488"/>
    <mergeCell ref="B494:F494"/>
    <mergeCell ref="G494:I494"/>
    <mergeCell ref="J494:L494"/>
    <mergeCell ref="M494:O494"/>
    <mergeCell ref="P494:R494"/>
    <mergeCell ref="S494:U494"/>
    <mergeCell ref="V494:X494"/>
    <mergeCell ref="B495:F495"/>
    <mergeCell ref="G495:I495"/>
    <mergeCell ref="J495:L495"/>
    <mergeCell ref="M495:O495"/>
    <mergeCell ref="P495:R495"/>
    <mergeCell ref="S495:U495"/>
    <mergeCell ref="V495:X495"/>
    <mergeCell ref="B496:F496"/>
    <mergeCell ref="G496:I496"/>
    <mergeCell ref="J496:L496"/>
    <mergeCell ref="M496:O496"/>
    <mergeCell ref="P496:R496"/>
    <mergeCell ref="S496:U496"/>
    <mergeCell ref="V496:X496"/>
    <mergeCell ref="B497:F497"/>
    <mergeCell ref="G497:I497"/>
    <mergeCell ref="J497:L497"/>
    <mergeCell ref="M497:O497"/>
    <mergeCell ref="P497:R497"/>
    <mergeCell ref="S497:U497"/>
    <mergeCell ref="V497:X497"/>
    <mergeCell ref="B498:F498"/>
    <mergeCell ref="G498:I498"/>
    <mergeCell ref="J498:L498"/>
    <mergeCell ref="M498:O498"/>
    <mergeCell ref="P498:R498"/>
    <mergeCell ref="S498:U498"/>
    <mergeCell ref="V498:X498"/>
    <mergeCell ref="B499:F499"/>
    <mergeCell ref="G499:I499"/>
    <mergeCell ref="J499:L499"/>
    <mergeCell ref="M499:O499"/>
    <mergeCell ref="P499:R499"/>
    <mergeCell ref="S499:U499"/>
    <mergeCell ref="V499:X499"/>
    <mergeCell ref="B500:F500"/>
    <mergeCell ref="G500:I500"/>
    <mergeCell ref="J500:L500"/>
    <mergeCell ref="M500:O500"/>
    <mergeCell ref="P500:R500"/>
    <mergeCell ref="S500:U500"/>
    <mergeCell ref="V500:X500"/>
    <mergeCell ref="A503:M503"/>
    <mergeCell ref="N503:X503"/>
    <mergeCell ref="A504:D504"/>
    <mergeCell ref="E504:K504"/>
    <mergeCell ref="L504:P504"/>
    <mergeCell ref="Q504:X504"/>
    <mergeCell ref="A505:D505"/>
    <mergeCell ref="E505:K505"/>
    <mergeCell ref="L505:P505"/>
    <mergeCell ref="Q505:S505"/>
    <mergeCell ref="U505:W505"/>
    <mergeCell ref="A508:O508"/>
    <mergeCell ref="P508:S508"/>
    <mergeCell ref="T508:X508"/>
    <mergeCell ref="A509:O509"/>
    <mergeCell ref="P509:S509"/>
    <mergeCell ref="T509:X509"/>
    <mergeCell ref="A510:O510"/>
    <mergeCell ref="P510:S510"/>
    <mergeCell ref="T510:X510"/>
    <mergeCell ref="P511:S511"/>
    <mergeCell ref="T511:X511"/>
    <mergeCell ref="A522:M522"/>
    <mergeCell ref="N522:X522"/>
    <mergeCell ref="A523:D523"/>
    <mergeCell ref="E523:K523"/>
    <mergeCell ref="L523:P523"/>
    <mergeCell ref="Q523:X523"/>
    <mergeCell ref="A524:D524"/>
    <mergeCell ref="E524:K524"/>
    <mergeCell ref="L524:P524"/>
    <mergeCell ref="Q524:S524"/>
    <mergeCell ref="U524:W524"/>
    <mergeCell ref="U526:X526"/>
    <mergeCell ref="U527:X533"/>
    <mergeCell ref="U534:X535"/>
    <mergeCell ref="A540:L540"/>
    <mergeCell ref="M540:T540"/>
    <mergeCell ref="U540:X540"/>
    <mergeCell ref="A541:D541"/>
    <mergeCell ref="E541:H541"/>
    <mergeCell ref="I541:L541"/>
    <mergeCell ref="M541:P541"/>
    <mergeCell ref="Q541:T541"/>
    <mergeCell ref="U541:X542"/>
    <mergeCell ref="A542:D542"/>
    <mergeCell ref="E542:H542"/>
    <mergeCell ref="I542:L542"/>
    <mergeCell ref="M542:P542"/>
    <mergeCell ref="Q542:T542"/>
    <mergeCell ref="A548:M548"/>
    <mergeCell ref="N548:X548"/>
    <mergeCell ref="A549:D549"/>
    <mergeCell ref="E549:K549"/>
    <mergeCell ref="L549:P549"/>
    <mergeCell ref="Q549:X549"/>
    <mergeCell ref="A550:D550"/>
    <mergeCell ref="E550:K550"/>
    <mergeCell ref="L550:P550"/>
    <mergeCell ref="Q550:S550"/>
    <mergeCell ref="U550:W550"/>
    <mergeCell ref="M553:O553"/>
    <mergeCell ref="M554:O554"/>
    <mergeCell ref="Q554:X554"/>
    <mergeCell ref="L555:M555"/>
    <mergeCell ref="N555:P555"/>
    <mergeCell ref="Q555:R555"/>
    <mergeCell ref="S555:V555"/>
    <mergeCell ref="R558:T558"/>
    <mergeCell ref="U558:V558"/>
    <mergeCell ref="W558:X558"/>
    <mergeCell ref="B559:F559"/>
    <mergeCell ref="G559:M559"/>
    <mergeCell ref="N559:Q559"/>
    <mergeCell ref="R559:T562"/>
    <mergeCell ref="U559:V562"/>
    <mergeCell ref="W559:X562"/>
    <mergeCell ref="B560:F560"/>
    <mergeCell ref="G560:M560"/>
    <mergeCell ref="N560:Q560"/>
    <mergeCell ref="B561:C561"/>
    <mergeCell ref="D561:F561"/>
    <mergeCell ref="G561:M561"/>
    <mergeCell ref="N561:Q561"/>
    <mergeCell ref="B562:F562"/>
    <mergeCell ref="G562:Q562"/>
    <mergeCell ref="B566:D566"/>
    <mergeCell ref="E566:G566"/>
    <mergeCell ref="H566:J566"/>
    <mergeCell ref="K566:N566"/>
    <mergeCell ref="O566:Q566"/>
    <mergeCell ref="R566:U566"/>
    <mergeCell ref="B567:D567"/>
    <mergeCell ref="E567:G567"/>
    <mergeCell ref="H567:J567"/>
    <mergeCell ref="K567:N567"/>
    <mergeCell ref="O567:Q567"/>
    <mergeCell ref="R567:U567"/>
    <mergeCell ref="B570:D570"/>
    <mergeCell ref="E570:I570"/>
    <mergeCell ref="K570:M570"/>
    <mergeCell ref="N570:U570"/>
    <mergeCell ref="B571:D571"/>
    <mergeCell ref="E571:J571"/>
    <mergeCell ref="K571:M571"/>
    <mergeCell ref="N571:U571"/>
    <mergeCell ref="A575:M575"/>
    <mergeCell ref="N575:X575"/>
    <mergeCell ref="A576:D576"/>
    <mergeCell ref="E576:K576"/>
    <mergeCell ref="L576:P576"/>
    <mergeCell ref="Q576:X576"/>
    <mergeCell ref="A577:D577"/>
    <mergeCell ref="E577:K577"/>
    <mergeCell ref="L577:P577"/>
    <mergeCell ref="Q577:S577"/>
    <mergeCell ref="U577:W577"/>
    <mergeCell ref="B580:D580"/>
    <mergeCell ref="E580:F580"/>
    <mergeCell ref="G580:I580"/>
    <mergeCell ref="J580:L580"/>
    <mergeCell ref="M580:Q580"/>
    <mergeCell ref="R580:S580"/>
    <mergeCell ref="T580:V580"/>
    <mergeCell ref="W580:X580"/>
    <mergeCell ref="B581:D581"/>
    <mergeCell ref="E581:F581"/>
    <mergeCell ref="G581:I581"/>
    <mergeCell ref="J581:L581"/>
    <mergeCell ref="M581:Q581"/>
    <mergeCell ref="R581:S581"/>
    <mergeCell ref="T581:V581"/>
    <mergeCell ref="W581:X581"/>
    <mergeCell ref="B582:D582"/>
    <mergeCell ref="E582:F582"/>
    <mergeCell ref="G582:I582"/>
    <mergeCell ref="J582:L582"/>
    <mergeCell ref="M582:Q582"/>
    <mergeCell ref="R582:S582"/>
    <mergeCell ref="T582:V582"/>
    <mergeCell ref="W582:X582"/>
    <mergeCell ref="B583:D583"/>
    <mergeCell ref="E583:F583"/>
    <mergeCell ref="G583:I583"/>
    <mergeCell ref="J583:L583"/>
    <mergeCell ref="M583:Q583"/>
    <mergeCell ref="R583:S583"/>
    <mergeCell ref="T583:V583"/>
    <mergeCell ref="W583:X583"/>
    <mergeCell ref="B584:D584"/>
    <mergeCell ref="E584:F584"/>
    <mergeCell ref="G584:I584"/>
    <mergeCell ref="J584:L584"/>
    <mergeCell ref="M584:Q584"/>
    <mergeCell ref="R584:S584"/>
    <mergeCell ref="T584:V584"/>
    <mergeCell ref="W584:X584"/>
    <mergeCell ref="B585:D585"/>
    <mergeCell ref="E585:F585"/>
    <mergeCell ref="G585:I585"/>
    <mergeCell ref="J585:L585"/>
    <mergeCell ref="M585:Q585"/>
    <mergeCell ref="R585:S585"/>
    <mergeCell ref="T585:V585"/>
    <mergeCell ref="W585:X585"/>
    <mergeCell ref="B586:D586"/>
    <mergeCell ref="E586:F586"/>
    <mergeCell ref="G586:I586"/>
    <mergeCell ref="J586:L586"/>
    <mergeCell ref="M586:Q586"/>
    <mergeCell ref="R586:S586"/>
    <mergeCell ref="T586:V586"/>
    <mergeCell ref="W586:X586"/>
    <mergeCell ref="B587:D587"/>
    <mergeCell ref="E587:F587"/>
    <mergeCell ref="G587:I587"/>
    <mergeCell ref="J587:L587"/>
    <mergeCell ref="M587:Q587"/>
    <mergeCell ref="R587:S587"/>
    <mergeCell ref="T587:V587"/>
    <mergeCell ref="W587:X587"/>
    <mergeCell ref="B588:D588"/>
    <mergeCell ref="E588:F588"/>
    <mergeCell ref="G588:I588"/>
    <mergeCell ref="J588:L588"/>
    <mergeCell ref="M588:Q588"/>
    <mergeCell ref="R588:S588"/>
    <mergeCell ref="T588:V588"/>
    <mergeCell ref="W588:X588"/>
    <mergeCell ref="B589:D589"/>
    <mergeCell ref="E589:F589"/>
    <mergeCell ref="G589:I589"/>
    <mergeCell ref="J589:L589"/>
    <mergeCell ref="M589:Q589"/>
    <mergeCell ref="R589:S589"/>
    <mergeCell ref="T589:V589"/>
    <mergeCell ref="W589:X589"/>
    <mergeCell ref="B590:D590"/>
    <mergeCell ref="E590:F590"/>
    <mergeCell ref="G590:I590"/>
    <mergeCell ref="J590:L590"/>
    <mergeCell ref="M590:Q590"/>
    <mergeCell ref="R590:S590"/>
    <mergeCell ref="T590:V590"/>
    <mergeCell ref="W590:X590"/>
    <mergeCell ref="B591:D591"/>
    <mergeCell ref="E591:F591"/>
    <mergeCell ref="G591:I591"/>
    <mergeCell ref="J591:L591"/>
    <mergeCell ref="M591:Q591"/>
    <mergeCell ref="R591:S591"/>
    <mergeCell ref="T591:V591"/>
    <mergeCell ref="W591:X591"/>
    <mergeCell ref="B592:D592"/>
    <mergeCell ref="E592:F592"/>
    <mergeCell ref="G592:I592"/>
    <mergeCell ref="J592:L592"/>
    <mergeCell ref="M592:Q592"/>
    <mergeCell ref="R592:S592"/>
    <mergeCell ref="T592:V592"/>
    <mergeCell ref="W592:X592"/>
    <mergeCell ref="B593:D593"/>
    <mergeCell ref="E593:F593"/>
    <mergeCell ref="G593:I593"/>
    <mergeCell ref="J593:L593"/>
    <mergeCell ref="M593:Q593"/>
    <mergeCell ref="R593:S593"/>
    <mergeCell ref="T593:V593"/>
    <mergeCell ref="W593:X593"/>
    <mergeCell ref="A596:B596"/>
    <mergeCell ref="C596:F596"/>
    <mergeCell ref="G596:J596"/>
    <mergeCell ref="K596:N596"/>
    <mergeCell ref="O596:R596"/>
    <mergeCell ref="S596:V596"/>
    <mergeCell ref="A597:B606"/>
    <mergeCell ref="C597:F606"/>
    <mergeCell ref="G597:J606"/>
    <mergeCell ref="K597:N606"/>
    <mergeCell ref="O597:R606"/>
    <mergeCell ref="S597:V606"/>
    <mergeCell ref="A609:M609"/>
    <mergeCell ref="N609:X609"/>
    <mergeCell ref="A610:D610"/>
    <mergeCell ref="E610:K610"/>
    <mergeCell ref="L610:P610"/>
    <mergeCell ref="Q610:X610"/>
    <mergeCell ref="A611:D611"/>
    <mergeCell ref="E611:K611"/>
    <mergeCell ref="L611:P611"/>
    <mergeCell ref="Q611:S611"/>
    <mergeCell ref="U611:W611"/>
    <mergeCell ref="A614:C614"/>
    <mergeCell ref="D614:G614"/>
    <mergeCell ref="H614:K614"/>
    <mergeCell ref="L614:P614"/>
    <mergeCell ref="Q614:T614"/>
    <mergeCell ref="U614:X614"/>
    <mergeCell ref="A615:C615"/>
    <mergeCell ref="D615:G615"/>
    <mergeCell ref="H615:K615"/>
    <mergeCell ref="L615:P615"/>
    <mergeCell ref="Q615:T615"/>
    <mergeCell ref="U615:X615"/>
    <mergeCell ref="A616:C616"/>
    <mergeCell ref="D616:G616"/>
    <mergeCell ref="H616:K616"/>
    <mergeCell ref="L616:P616"/>
    <mergeCell ref="Q616:T616"/>
    <mergeCell ref="U616:X616"/>
    <mergeCell ref="A617:C617"/>
    <mergeCell ref="D617:G617"/>
    <mergeCell ref="H617:K617"/>
    <mergeCell ref="L617:P617"/>
    <mergeCell ref="Q617:T617"/>
    <mergeCell ref="U617:X617"/>
    <mergeCell ref="A618:C618"/>
    <mergeCell ref="D618:G618"/>
    <mergeCell ref="H618:K618"/>
    <mergeCell ref="L618:P618"/>
    <mergeCell ref="Q618:T618"/>
    <mergeCell ref="U618:X618"/>
    <mergeCell ref="A619:C619"/>
    <mergeCell ref="D619:G619"/>
    <mergeCell ref="H619:K619"/>
    <mergeCell ref="L619:P619"/>
    <mergeCell ref="Q619:T619"/>
    <mergeCell ref="U619:X619"/>
    <mergeCell ref="A620:C620"/>
    <mergeCell ref="D620:K621"/>
    <mergeCell ref="L620:P620"/>
    <mergeCell ref="Q620:X621"/>
    <mergeCell ref="A621:C621"/>
    <mergeCell ref="L621:P621"/>
    <mergeCell ref="A624:D624"/>
    <mergeCell ref="E624:H624"/>
    <mergeCell ref="I624:L624"/>
    <mergeCell ref="M624:P624"/>
    <mergeCell ref="Q624:T624"/>
    <mergeCell ref="A625:D625"/>
    <mergeCell ref="E625:H625"/>
    <mergeCell ref="I625:L625"/>
    <mergeCell ref="M625:P625"/>
    <mergeCell ref="Q625:T625"/>
    <mergeCell ref="A626:D626"/>
    <mergeCell ref="E626:H626"/>
    <mergeCell ref="I626:L626"/>
    <mergeCell ref="M626:P626"/>
    <mergeCell ref="Q626:T626"/>
    <mergeCell ref="A627:D627"/>
    <mergeCell ref="E627:H627"/>
    <mergeCell ref="I627:L627"/>
    <mergeCell ref="M627:P627"/>
    <mergeCell ref="Q627:T627"/>
    <mergeCell ref="A628:D628"/>
    <mergeCell ref="E628:H628"/>
    <mergeCell ref="I628:L628"/>
    <mergeCell ref="M628:P628"/>
    <mergeCell ref="Q628:T628"/>
    <mergeCell ref="A630:B630"/>
  </mergeCells>
  <printOptions headings="false" gridLines="false" gridLinesSet="true" horizontalCentered="true" verticalCentered="false"/>
  <pageMargins left="0.157638888888889" right="0.157638888888889" top="0.595833333333333" bottom="0.551388888888889" header="0.315277777777778" footer="0.315277777777778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&amp;LNGP-010-F02C (Ver.01)&amp;C&amp;P / &amp;N&amp;RCOSMAX NBT, INC.</oddFooter>
  </headerFooter>
  <rowBreaks count="23" manualBreakCount="23">
    <brk id="24" man="true" max="16383" min="0"/>
    <brk id="33" man="true" max="16383" min="0"/>
    <brk id="48" man="true" max="16383" min="0"/>
    <brk id="97" man="true" max="16383" min="0"/>
    <brk id="108" man="true" max="16383" min="0"/>
    <brk id="149" man="true" max="16383" min="0"/>
    <brk id="184" man="true" max="16383" min="0"/>
    <brk id="195" man="true" max="16383" min="0"/>
    <brk id="222" man="true" max="16383" min="0"/>
    <brk id="251" man="true" max="16383" min="0"/>
    <brk id="262" man="true" max="16383" min="0"/>
    <brk id="290" man="true" max="16383" min="0"/>
    <brk id="316" man="true" max="16383" min="0"/>
    <brk id="340" man="true" max="16383" min="0"/>
    <brk id="374" man="true" max="16383" min="0"/>
    <brk id="395" man="true" max="16383" min="0"/>
    <brk id="438" man="true" max="16383" min="0"/>
    <brk id="471" man="true" max="16383" min="0"/>
    <brk id="501" man="true" max="16383" min="0"/>
    <brk id="520" man="true" max="16383" min="0"/>
    <brk id="546" man="true" max="16383" min="0"/>
    <brk id="573" man="true" max="16383" min="0"/>
    <brk id="60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2023-07-05T11:03:43Z</dcterms:created>
  <dc:creator>zuch</dc:creator>
  <dc:description/>
  <dc:language>ko-KR</dc:language>
  <cp:lastModifiedBy>헌우 박</cp:lastModifiedBy>
  <cp:lastPrinted>2024-09-12T04:42:39Z</cp:lastPrinted>
  <dcterms:modified xsi:type="dcterms:W3CDTF">2024-11-04T02:29:16Z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